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05"/>
  <workbookPr defaultThemeVersion="166925"/>
  <mc:AlternateContent xmlns:mc="http://schemas.openxmlformats.org/markup-compatibility/2006">
    <mc:Choice Requires="x15">
      <x15ac:absPath xmlns:x15ac="http://schemas.microsoft.com/office/spreadsheetml/2010/11/ac" url="G:\.shortcut-targets-by-id\0ByCXSRklM0Avcm5WYS1UUjlaNlU\CHI\5.CHI_Denetim_Rehberi\CHI_Set_v5_[TMS]\"/>
    </mc:Choice>
  </mc:AlternateContent>
  <xr:revisionPtr revIDLastSave="0" documentId="13_ncr:1_{6347BD17-17A7-4F2F-A5D5-2F392B6CFCDA}" xr6:coauthVersionLast="47" xr6:coauthVersionMax="47" xr10:uidLastSave="{00000000-0000-0000-0000-000000000000}"/>
  <bookViews>
    <workbookView xWindow="-110" yWindow="-110" windowWidth="19420" windowHeight="10420" firstSheet="1" activeTab="1" xr2:uid="{F36EA631-5547-4EEA-9084-195F3184093A}"/>
  </bookViews>
  <sheets>
    <sheet name="C_Kapak" sheetId="3" r:id="rId1"/>
    <sheet name="P02" sheetId="1" r:id="rId2"/>
    <sheet name="Döviz Kurları" sheetId="2" r:id="rId3"/>
  </sheets>
  <definedNames>
    <definedName name="_xlnm.Print_Area" localSheetId="0">C_Kapak!$B$2:$S$45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34" i="1" l="1"/>
  <c r="AB34" i="1"/>
  <c r="AA34" i="1"/>
  <c r="Z34" i="1"/>
  <c r="T34" i="1"/>
  <c r="U34" i="1" s="1"/>
  <c r="J34" i="1"/>
  <c r="K34" i="1" s="1"/>
  <c r="AE34" i="1" s="1"/>
  <c r="AC33" i="1"/>
  <c r="AB33" i="1"/>
  <c r="AA33" i="1"/>
  <c r="Z33" i="1"/>
  <c r="T33" i="1"/>
  <c r="U33" i="1" s="1"/>
  <c r="J33" i="1"/>
  <c r="K33" i="1" s="1"/>
  <c r="AC32" i="1"/>
  <c r="AB32" i="1"/>
  <c r="AA32" i="1"/>
  <c r="Z32" i="1"/>
  <c r="T32" i="1"/>
  <c r="U32" i="1" s="1"/>
  <c r="J32" i="1"/>
  <c r="K32" i="1" s="1"/>
  <c r="N32" i="1" s="1"/>
  <c r="AC31" i="1"/>
  <c r="AB31" i="1"/>
  <c r="AA31" i="1"/>
  <c r="Z31" i="1"/>
  <c r="T31" i="1"/>
  <c r="U31" i="1" s="1"/>
  <c r="J31" i="1"/>
  <c r="K31" i="1" s="1"/>
  <c r="AC30" i="1"/>
  <c r="AB30" i="1"/>
  <c r="AA30" i="1"/>
  <c r="Z30" i="1"/>
  <c r="T30" i="1"/>
  <c r="U30" i="1" s="1"/>
  <c r="J30" i="1"/>
  <c r="K30" i="1" s="1"/>
  <c r="AE30" i="1" s="1"/>
  <c r="AC29" i="1"/>
  <c r="AB29" i="1"/>
  <c r="AA29" i="1"/>
  <c r="Z29" i="1"/>
  <c r="T29" i="1"/>
  <c r="U29" i="1" s="1"/>
  <c r="J29" i="1"/>
  <c r="K29" i="1" s="1"/>
  <c r="AC28" i="1"/>
  <c r="AB28" i="1"/>
  <c r="AA28" i="1"/>
  <c r="Z28" i="1"/>
  <c r="T28" i="1"/>
  <c r="U28" i="1" s="1"/>
  <c r="J28" i="1"/>
  <c r="K28" i="1" s="1"/>
  <c r="N28" i="1" s="1"/>
  <c r="AC27" i="1"/>
  <c r="AB27" i="1"/>
  <c r="AA27" i="1"/>
  <c r="Z27" i="1"/>
  <c r="T27" i="1"/>
  <c r="U27" i="1" s="1"/>
  <c r="J27" i="1"/>
  <c r="K27" i="1" s="1"/>
  <c r="AC26" i="1"/>
  <c r="AB26" i="1"/>
  <c r="AA26" i="1"/>
  <c r="Z26" i="1"/>
  <c r="T26" i="1"/>
  <c r="U26" i="1" s="1"/>
  <c r="J26" i="1"/>
  <c r="K26" i="1" s="1"/>
  <c r="AE26" i="1" l="1"/>
  <c r="V29" i="1"/>
  <c r="AE29" i="1"/>
  <c r="N29" i="1"/>
  <c r="N27" i="1"/>
  <c r="V27" i="1"/>
  <c r="AE27" i="1"/>
  <c r="N31" i="1"/>
  <c r="V31" i="1"/>
  <c r="AE31" i="1"/>
  <c r="V33" i="1"/>
  <c r="AE33" i="1"/>
  <c r="N33" i="1"/>
  <c r="V26" i="1"/>
  <c r="V30" i="1"/>
  <c r="V34" i="1"/>
  <c r="N26" i="1"/>
  <c r="AE28" i="1"/>
  <c r="N30" i="1"/>
  <c r="AE32" i="1"/>
  <c r="N34" i="1"/>
  <c r="V28" i="1"/>
  <c r="V32" i="1"/>
  <c r="J25" i="1"/>
  <c r="J24" i="1"/>
  <c r="J23" i="1"/>
  <c r="J22" i="1"/>
  <c r="J21" i="1"/>
  <c r="J20" i="1"/>
  <c r="J19" i="1"/>
  <c r="J18" i="1"/>
  <c r="J17" i="1"/>
  <c r="J16" i="1"/>
  <c r="J15" i="1"/>
  <c r="J14" i="1"/>
  <c r="J13" i="1"/>
  <c r="J12" i="1"/>
  <c r="J11" i="1"/>
  <c r="J10" i="1"/>
  <c r="J9" i="1"/>
  <c r="J8" i="1"/>
  <c r="AD30" i="1" l="1"/>
  <c r="X30" i="1"/>
  <c r="AD33" i="1"/>
  <c r="X33" i="1"/>
  <c r="AD27" i="1"/>
  <c r="X27" i="1"/>
  <c r="X32" i="1"/>
  <c r="AD32" i="1"/>
  <c r="AD26" i="1"/>
  <c r="X26" i="1"/>
  <c r="AD31" i="1"/>
  <c r="X31" i="1"/>
  <c r="X28" i="1"/>
  <c r="AD28" i="1"/>
  <c r="AD34" i="1"/>
  <c r="X34" i="1"/>
  <c r="AD29" i="1"/>
  <c r="X29" i="1"/>
  <c r="AC25" i="1" l="1"/>
  <c r="AB25" i="1"/>
  <c r="AA25" i="1"/>
  <c r="Z25" i="1"/>
  <c r="T25" i="1"/>
  <c r="U25" i="1" s="1"/>
  <c r="K25" i="1"/>
  <c r="N25" i="1" s="1"/>
  <c r="AC24" i="1"/>
  <c r="AB24" i="1"/>
  <c r="AA24" i="1"/>
  <c r="Z24" i="1"/>
  <c r="T24" i="1"/>
  <c r="U24" i="1" s="1"/>
  <c r="K24" i="1"/>
  <c r="AC23" i="1"/>
  <c r="AB23" i="1"/>
  <c r="AA23" i="1"/>
  <c r="Z23" i="1"/>
  <c r="T23" i="1"/>
  <c r="U23" i="1" s="1"/>
  <c r="K23" i="1"/>
  <c r="AC22" i="1"/>
  <c r="AB22" i="1"/>
  <c r="AA22" i="1"/>
  <c r="Z22" i="1"/>
  <c r="T22" i="1"/>
  <c r="U22" i="1" s="1"/>
  <c r="K22" i="1"/>
  <c r="AC21" i="1"/>
  <c r="AB21" i="1"/>
  <c r="AA21" i="1"/>
  <c r="Z21" i="1"/>
  <c r="T21" i="1"/>
  <c r="U21" i="1" s="1"/>
  <c r="K21" i="1"/>
  <c r="AC20" i="1"/>
  <c r="AB20" i="1"/>
  <c r="AA20" i="1"/>
  <c r="Z20" i="1"/>
  <c r="T20" i="1"/>
  <c r="U20" i="1" s="1"/>
  <c r="K20" i="1"/>
  <c r="AC19" i="1"/>
  <c r="AB19" i="1"/>
  <c r="AA19" i="1"/>
  <c r="Z19" i="1"/>
  <c r="T19" i="1"/>
  <c r="U19" i="1" s="1"/>
  <c r="K19" i="1"/>
  <c r="AC18" i="1"/>
  <c r="AB18" i="1"/>
  <c r="AA18" i="1"/>
  <c r="Z18" i="1"/>
  <c r="T18" i="1"/>
  <c r="U18" i="1" s="1"/>
  <c r="K18" i="1"/>
  <c r="AC17" i="1"/>
  <c r="AB17" i="1"/>
  <c r="AA17" i="1"/>
  <c r="Z17" i="1"/>
  <c r="T17" i="1"/>
  <c r="U17" i="1" s="1"/>
  <c r="K17" i="1"/>
  <c r="V17" i="1" s="1"/>
  <c r="AC16" i="1"/>
  <c r="AB16" i="1"/>
  <c r="AA16" i="1"/>
  <c r="Z16" i="1"/>
  <c r="T16" i="1"/>
  <c r="U16" i="1" s="1"/>
  <c r="K16" i="1"/>
  <c r="AC15" i="1"/>
  <c r="AB15" i="1"/>
  <c r="AA15" i="1"/>
  <c r="Z15" i="1"/>
  <c r="T15" i="1"/>
  <c r="U15" i="1" s="1"/>
  <c r="K15" i="1"/>
  <c r="AC14" i="1"/>
  <c r="AB14" i="1"/>
  <c r="AA14" i="1"/>
  <c r="Z14" i="1"/>
  <c r="T14" i="1"/>
  <c r="U14" i="1" s="1"/>
  <c r="K14" i="1"/>
  <c r="AC13" i="1"/>
  <c r="AB13" i="1"/>
  <c r="AA13" i="1"/>
  <c r="Z13" i="1"/>
  <c r="T13" i="1"/>
  <c r="U13" i="1" s="1"/>
  <c r="K13" i="1"/>
  <c r="AC12" i="1"/>
  <c r="AB12" i="1"/>
  <c r="AA12" i="1"/>
  <c r="Z12" i="1"/>
  <c r="T12" i="1"/>
  <c r="U12" i="1" s="1"/>
  <c r="K12" i="1"/>
  <c r="AC11" i="1"/>
  <c r="AB11" i="1"/>
  <c r="AA11" i="1"/>
  <c r="Z11" i="1"/>
  <c r="T11" i="1"/>
  <c r="U11" i="1" s="1"/>
  <c r="K11" i="1"/>
  <c r="AC10" i="1"/>
  <c r="AB10" i="1"/>
  <c r="AA10" i="1"/>
  <c r="Z10" i="1"/>
  <c r="T10" i="1"/>
  <c r="U10" i="1" s="1"/>
  <c r="K10" i="1"/>
  <c r="AC9" i="1"/>
  <c r="AB9" i="1"/>
  <c r="AA9" i="1"/>
  <c r="Z9" i="1"/>
  <c r="T9" i="1"/>
  <c r="U9" i="1" s="1"/>
  <c r="K9" i="1"/>
  <c r="AC8" i="1"/>
  <c r="AB8" i="1"/>
  <c r="AA8" i="1"/>
  <c r="Z8" i="1"/>
  <c r="T8" i="1"/>
  <c r="U8" i="1" s="1"/>
  <c r="K8" i="1"/>
  <c r="AC35" i="1" l="1"/>
  <c r="V9" i="1"/>
  <c r="AD9" i="1" s="1"/>
  <c r="AE18" i="1"/>
  <c r="AE10" i="1"/>
  <c r="V11" i="1"/>
  <c r="AE11" i="1"/>
  <c r="N11" i="1"/>
  <c r="K35" i="1"/>
  <c r="AE15" i="1"/>
  <c r="N15" i="1"/>
  <c r="V15" i="1"/>
  <c r="U35" i="1"/>
  <c r="V14" i="1"/>
  <c r="AE14" i="1"/>
  <c r="N14" i="1"/>
  <c r="AE19" i="1"/>
  <c r="V19" i="1"/>
  <c r="N19" i="1"/>
  <c r="V13" i="1"/>
  <c r="AE13" i="1"/>
  <c r="N13" i="1"/>
  <c r="X17" i="1"/>
  <c r="AD17" i="1"/>
  <c r="AE21" i="1"/>
  <c r="N21" i="1"/>
  <c r="V21" i="1"/>
  <c r="V8" i="1"/>
  <c r="AE8" i="1"/>
  <c r="N8" i="1"/>
  <c r="AE20" i="1"/>
  <c r="N20" i="1"/>
  <c r="V20" i="1"/>
  <c r="V24" i="1"/>
  <c r="AE24" i="1"/>
  <c r="N24" i="1"/>
  <c r="N23" i="1"/>
  <c r="V23" i="1"/>
  <c r="AE23" i="1"/>
  <c r="V12" i="1"/>
  <c r="AE12" i="1"/>
  <c r="N12" i="1"/>
  <c r="V16" i="1"/>
  <c r="AE16" i="1"/>
  <c r="N16" i="1"/>
  <c r="N22" i="1"/>
  <c r="V22" i="1"/>
  <c r="AE22" i="1"/>
  <c r="N9" i="1"/>
  <c r="V10" i="1"/>
  <c r="N17" i="1"/>
  <c r="V18" i="1"/>
  <c r="AE9" i="1"/>
  <c r="AE17" i="1"/>
  <c r="AE25" i="1"/>
  <c r="V25" i="1"/>
  <c r="N10" i="1"/>
  <c r="N18" i="1"/>
  <c r="AE35" i="1" l="1"/>
  <c r="X9" i="1"/>
  <c r="AB35" i="1"/>
  <c r="N35" i="1"/>
  <c r="X8" i="1"/>
  <c r="AD8" i="1"/>
  <c r="X14" i="1"/>
  <c r="AD14" i="1"/>
  <c r="X18" i="1"/>
  <c r="AD18" i="1"/>
  <c r="AD13" i="1"/>
  <c r="X13" i="1"/>
  <c r="AD23" i="1"/>
  <c r="X23" i="1"/>
  <c r="AD10" i="1"/>
  <c r="X10" i="1"/>
  <c r="X19" i="1"/>
  <c r="AD19" i="1"/>
  <c r="V35" i="1"/>
  <c r="AD24" i="1"/>
  <c r="X24" i="1"/>
  <c r="X20" i="1"/>
  <c r="AD20" i="1"/>
  <c r="AD15" i="1"/>
  <c r="X15" i="1"/>
  <c r="X16" i="1"/>
  <c r="AD16" i="1"/>
  <c r="AD21" i="1"/>
  <c r="X21" i="1"/>
  <c r="X11" i="1"/>
  <c r="AD11" i="1"/>
  <c r="AD25" i="1"/>
  <c r="X25" i="1"/>
  <c r="X12" i="1"/>
  <c r="AD12" i="1"/>
  <c r="X22" i="1"/>
  <c r="AD22" i="1"/>
  <c r="AD35" i="1" l="1"/>
  <c r="X35" i="1"/>
</calcChain>
</file>

<file path=xl/sharedStrings.xml><?xml version="1.0" encoding="utf-8"?>
<sst xmlns="http://schemas.openxmlformats.org/spreadsheetml/2006/main" count="199" uniqueCount="57">
  <si>
    <t>Denetlenen Şirket</t>
  </si>
  <si>
    <t>:</t>
  </si>
  <si>
    <t>….Şirketi</t>
  </si>
  <si>
    <t>Denetim Dönemi</t>
  </si>
  <si>
    <t>Hazırlayan</t>
  </si>
  <si>
    <t>AA</t>
  </si>
  <si>
    <t>aa.aa.2020</t>
  </si>
  <si>
    <t>Kontrol Eden</t>
  </si>
  <si>
    <t>BB</t>
  </si>
  <si>
    <t>bb.bb.2020</t>
  </si>
  <si>
    <t>Onaylayan</t>
  </si>
  <si>
    <t>CC</t>
  </si>
  <si>
    <t>cc.cc.2020</t>
  </si>
  <si>
    <t>C10</t>
  </si>
  <si>
    <t>NAKİT VE NAKİT BENZERLERİ</t>
  </si>
  <si>
    <t>P02</t>
  </si>
  <si>
    <t>Banka mektuplarının gönderilmesi ve banka hesaplarının tamlık ve varolduğunun araştırılması</t>
  </si>
  <si>
    <t>Banka hesaplarındaki kısıtlamaların (bloke mevduatların) araştırılması</t>
  </si>
  <si>
    <t>Faiz tahakkukunun yeniden hesaplanması</t>
  </si>
  <si>
    <t>Mevduatların vadelerinin kontrol edilmesi</t>
  </si>
  <si>
    <t>Banka mevduatları ile ilgili açıklamalar bu alana yazılır. Örneğin; 
"Tüm bankalara ait banka mutabakatları temin edilmiştir" veya "tüm bankalara ait banka mutabakatları temin edilememiştir. Gelmeyen bankaların ekstreleri firmadan temin edilip kontrol edilmiş ve bağlanmıştır". Banka teyit mektupları ve ekstrelerde yer alan bakiyelerin mizanla bağlanması sonucunda fark ortaya çıkmamıştır. Bu çalışma kağıdı kapsamında, olması gereken vadeli mevduat faiz tahakkuku .... TL tutarında hesaplanmış olup .... TL tutarında blokeli mevduat olduğu tespit edilmiştir.</t>
  </si>
  <si>
    <t>Denetlenen Dönem:</t>
  </si>
  <si>
    <t>FAİZ TAHAKKUKU - YASAL</t>
  </si>
  <si>
    <t>FAİZ TAHAKKUKU - IAS 39</t>
  </si>
  <si>
    <t xml:space="preserve"> </t>
  </si>
  <si>
    <t>Hesap Kodu</t>
  </si>
  <si>
    <t>Banka</t>
  </si>
  <si>
    <t>Hesap Tipi</t>
  </si>
  <si>
    <t>Vadeli Hesap Açılış Tarihi</t>
  </si>
  <si>
    <t>Vade Tarihi</t>
  </si>
  <si>
    <t>Faiz Oranı (%)</t>
  </si>
  <si>
    <t>Orijinal Para Tutarı</t>
  </si>
  <si>
    <t>Para Birimi</t>
  </si>
  <si>
    <t>Döviz Kuru</t>
  </si>
  <si>
    <t>TL Karşılığı</t>
  </si>
  <si>
    <t>Mizan Bakiye</t>
  </si>
  <si>
    <t>Fark</t>
  </si>
  <si>
    <t>Hesap Bakiyesi Üzerinde Herhangi Bir Kısıtlama Var mı?</t>
  </si>
  <si>
    <t>Doğrulama Tipi</t>
  </si>
  <si>
    <t>Referans</t>
  </si>
  <si>
    <t>Raporlama Tarihine Kadar Olan Gün Sayısı</t>
  </si>
  <si>
    <t>Faiz Tahakkuku Orijinal Para Birimi</t>
  </si>
  <si>
    <t>Faiz Tahakkuku TL</t>
  </si>
  <si>
    <t>Şirket Başına</t>
  </si>
  <si>
    <t>Fark - TL</t>
  </si>
  <si>
    <t>Vade Bitimine Kadar Olan Gün Sayısı</t>
  </si>
  <si>
    <t>Vade Tarihinde Anapara + Faiz</t>
  </si>
  <si>
    <t>Düzeltmeler
TL</t>
  </si>
  <si>
    <t>Anapara + Faiz TL</t>
  </si>
  <si>
    <t>Seçiniz</t>
  </si>
  <si>
    <t>REF:</t>
  </si>
  <si>
    <t>Döviz Kurları</t>
  </si>
  <si>
    <t>Yıllar</t>
  </si>
  <si>
    <t>USD</t>
  </si>
  <si>
    <t>EUR</t>
  </si>
  <si>
    <t>GBP</t>
  </si>
  <si>
    <t>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</si>
</sst>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_);_(* \(#,##0\);_(* &quot;-&quot;_);_(@_)"/>
    <numFmt numFmtId="165" formatCode="_ * #,##0_ ;_ * \-#,##0_ ;_ * &quot;-&quot;??_ ;_ @_ "/>
    <numFmt numFmtId="166" formatCode="_-* #,##0\ _Y_T_L_-;\-* #,##0\ _Y_T_L_-;_-* &quot;-&quot;\ _Y_T_L_-;_-@_-"/>
    <numFmt numFmtId="167" formatCode="_(* #,##0.00_);_(* \(#,##0.00\);_(* &quot;-&quot;_);_(@_)"/>
    <numFmt numFmtId="168" formatCode="_(* #,##0_);_(* \(#,##0\);_(* &quot;--&quot;_);_(@_)"/>
    <numFmt numFmtId="169" formatCode="_(&quot;$&quot;* #,##0_);_(&quot;$&quot;* \(#,##0\);_(&quot;$&quot;* &quot;-&quot;_);_(@_)"/>
    <numFmt numFmtId="170" formatCode="0.0000"/>
  </numFmts>
  <fonts count="21">
    <font>
      <sz val="11"/>
      <color theme="1"/>
      <name val="ArialNarrow"/>
      <family val="2"/>
    </font>
    <font>
      <sz val="11"/>
      <color theme="1"/>
      <name val="Arial Narrow"/>
      <family val="2"/>
      <charset val="162"/>
    </font>
    <font>
      <sz val="10"/>
      <name val="Arial"/>
      <family val="2"/>
      <charset val="162"/>
    </font>
    <font>
      <sz val="11"/>
      <name val="Arial Narrow"/>
      <family val="2"/>
      <charset val="162"/>
    </font>
    <font>
      <b/>
      <sz val="10"/>
      <color indexed="10"/>
      <name val="Arial"/>
      <family val="2"/>
    </font>
    <font>
      <b/>
      <sz val="11"/>
      <color indexed="10"/>
      <name val="Arial Narrow"/>
      <family val="2"/>
      <charset val="162"/>
    </font>
    <font>
      <sz val="11"/>
      <color theme="1"/>
      <name val="ArialNarrow"/>
      <family val="2"/>
    </font>
    <font>
      <b/>
      <sz val="11"/>
      <color rgb="FFFFC000"/>
      <name val="Arial Narrow"/>
      <family val="2"/>
      <charset val="162"/>
    </font>
    <font>
      <b/>
      <sz val="11"/>
      <name val="Arial Narrow"/>
      <family val="2"/>
      <charset val="162"/>
    </font>
    <font>
      <b/>
      <sz val="10"/>
      <name val="Arial"/>
      <family val="2"/>
    </font>
    <font>
      <sz val="10"/>
      <color theme="1"/>
      <name val="Times New Roman"/>
      <family val="2"/>
      <charset val="162"/>
    </font>
    <font>
      <sz val="11"/>
      <color indexed="10"/>
      <name val="Arial Narrow"/>
      <family val="2"/>
      <charset val="162"/>
    </font>
    <font>
      <sz val="11"/>
      <color rgb="FFFFC000"/>
      <name val="ArialNarrow"/>
      <family val="2"/>
    </font>
    <font>
      <u/>
      <sz val="11"/>
      <color theme="10"/>
      <name val="Calibri"/>
      <family val="2"/>
      <charset val="162"/>
      <scheme val="minor"/>
    </font>
    <font>
      <u/>
      <sz val="10"/>
      <color theme="10"/>
      <name val="Arial Narrow"/>
      <family val="2"/>
      <charset val="162"/>
    </font>
    <font>
      <sz val="10"/>
      <name val="Arial"/>
      <family val="2"/>
    </font>
    <font>
      <sz val="10"/>
      <color theme="3" tint="0.39997558519241921"/>
      <name val="Arial Narrow"/>
      <family val="2"/>
      <charset val="162"/>
    </font>
    <font>
      <b/>
      <sz val="11"/>
      <color theme="1"/>
      <name val="Arial Narrow"/>
      <family val="2"/>
      <charset val="162"/>
    </font>
    <font>
      <b/>
      <sz val="10"/>
      <color rgb="FFFFC000"/>
      <name val="Arial Narrow"/>
      <family val="2"/>
      <charset val="162"/>
    </font>
    <font>
      <b/>
      <sz val="10"/>
      <color theme="3" tint="-0.499984740745262"/>
      <name val="Arial Narrow"/>
      <family val="2"/>
      <charset val="162"/>
    </font>
    <font>
      <b/>
      <u/>
      <sz val="11"/>
      <color theme="10"/>
      <name val="Arial Narrow"/>
      <family val="2"/>
      <charset val="162"/>
    </font>
  </fonts>
  <fills count="10">
    <fill>
      <patternFill patternType="none"/>
    </fill>
    <fill>
      <patternFill patternType="gray125"/>
    </fill>
    <fill>
      <patternFill patternType="solid">
        <fgColor theme="2" tint="-9.9978637043366805E-2"/>
        <bgColor indexed="64"/>
      </patternFill>
    </fill>
    <fill>
      <patternFill patternType="solid">
        <fgColor rgb="FF002060"/>
        <bgColor indexed="64"/>
      </patternFill>
    </fill>
    <fill>
      <patternFill patternType="solid">
        <fgColor rgb="FFFFC000"/>
        <bgColor indexed="64"/>
      </patternFill>
    </fill>
    <fill>
      <patternFill patternType="solid">
        <fgColor indexed="27"/>
        <bgColor indexed="64"/>
      </patternFill>
    </fill>
    <fill>
      <patternFill patternType="solid">
        <fgColor rgb="FF92D050"/>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499984740745262"/>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0">
    <xf numFmtId="0" fontId="0" fillId="0" borderId="0"/>
    <xf numFmtId="43" fontId="6" fillId="0" borderId="0" applyFont="0" applyFill="0" applyBorder="0" applyAlignment="0" applyProtection="0"/>
    <xf numFmtId="9" fontId="6" fillId="0" borderId="0" applyFont="0" applyFill="0" applyBorder="0" applyAlignment="0" applyProtection="0"/>
    <xf numFmtId="37" fontId="2" fillId="0" borderId="0"/>
    <xf numFmtId="0" fontId="4" fillId="0" borderId="0" applyFill="0" applyBorder="0" applyProtection="0">
      <alignment horizontal="center" vertical="top"/>
    </xf>
    <xf numFmtId="14" fontId="9" fillId="5" borderId="11">
      <alignment horizontal="center" vertical="center" wrapText="1"/>
    </xf>
    <xf numFmtId="0" fontId="10" fillId="0" borderId="0"/>
    <xf numFmtId="169" fontId="2" fillId="0" borderId="0" applyFont="0" applyFill="0" applyBorder="0" applyAlignment="0" applyProtection="0"/>
    <xf numFmtId="0" fontId="13" fillId="0" borderId="0" applyNumberFormat="0" applyFill="0" applyBorder="0" applyAlignment="0" applyProtection="0"/>
    <xf numFmtId="0" fontId="15" fillId="0" borderId="0"/>
  </cellStyleXfs>
  <cellXfs count="86">
    <xf numFmtId="0" fontId="0" fillId="0" borderId="0" xfId="0"/>
    <xf numFmtId="37" fontId="3" fillId="0" borderId="0" xfId="3" applyFont="1"/>
    <xf numFmtId="3" fontId="3" fillId="0" borderId="0" xfId="3" applyNumberFormat="1" applyFont="1"/>
    <xf numFmtId="0" fontId="5" fillId="0" borderId="0" xfId="4" applyFont="1">
      <alignment horizontal="center" vertical="top"/>
    </xf>
    <xf numFmtId="0" fontId="7" fillId="3" borderId="6" xfId="0" applyFont="1" applyFill="1" applyBorder="1" applyAlignment="1">
      <alignment horizontal="left" vertical="center" wrapText="1"/>
    </xf>
    <xf numFmtId="14" fontId="8" fillId="4" borderId="7" xfId="0" applyNumberFormat="1" applyFont="1" applyFill="1" applyBorder="1"/>
    <xf numFmtId="14" fontId="7" fillId="3" borderId="0" xfId="5" applyFont="1" applyFill="1" applyBorder="1">
      <alignment horizontal="center" vertical="center" wrapText="1"/>
    </xf>
    <xf numFmtId="0" fontId="7" fillId="3" borderId="0" xfId="0" applyFont="1" applyFill="1" applyAlignment="1">
      <alignment horizontal="left" vertical="center" wrapText="1"/>
    </xf>
    <xf numFmtId="164" fontId="3" fillId="0" borderId="0" xfId="3" applyNumberFormat="1" applyFont="1"/>
    <xf numFmtId="0" fontId="7" fillId="3" borderId="0" xfId="0" applyFont="1" applyFill="1" applyAlignment="1">
      <alignment horizontal="center" vertical="center" wrapText="1"/>
    </xf>
    <xf numFmtId="14" fontId="7" fillId="3" borderId="11" xfId="5" applyFont="1" applyFill="1">
      <alignment horizontal="center" vertical="center" wrapText="1"/>
    </xf>
    <xf numFmtId="165" fontId="1" fillId="0" borderId="0" xfId="1" applyNumberFormat="1" applyFont="1"/>
    <xf numFmtId="164" fontId="3" fillId="4" borderId="0" xfId="3" applyNumberFormat="1" applyFont="1" applyFill="1"/>
    <xf numFmtId="167" fontId="3" fillId="0" borderId="0" xfId="3" applyNumberFormat="1" applyFont="1"/>
    <xf numFmtId="3" fontId="3" fillId="0" borderId="0" xfId="1" applyNumberFormat="1" applyFont="1" applyFill="1"/>
    <xf numFmtId="164" fontId="5" fillId="6" borderId="0" xfId="3" applyNumberFormat="1" applyFont="1" applyFill="1"/>
    <xf numFmtId="168" fontId="3" fillId="0" borderId="0" xfId="3" applyNumberFormat="1" applyFont="1"/>
    <xf numFmtId="165" fontId="3" fillId="0" borderId="0" xfId="1" applyNumberFormat="1" applyFont="1"/>
    <xf numFmtId="165" fontId="3" fillId="0" borderId="0" xfId="1" applyNumberFormat="1" applyFont="1" applyFill="1"/>
    <xf numFmtId="37" fontId="3" fillId="7" borderId="0" xfId="3" applyFont="1" applyFill="1"/>
    <xf numFmtId="3" fontId="7" fillId="3" borderId="12" xfId="1" applyNumberFormat="1" applyFont="1" applyFill="1" applyBorder="1"/>
    <xf numFmtId="164" fontId="3" fillId="0" borderId="0" xfId="7" applyNumberFormat="1" applyFont="1" applyFill="1" applyBorder="1"/>
    <xf numFmtId="3" fontId="3" fillId="7" borderId="0" xfId="1" applyNumberFormat="1" applyFont="1" applyFill="1" applyBorder="1"/>
    <xf numFmtId="164" fontId="11" fillId="0" borderId="0" xfId="3" applyNumberFormat="1" applyFont="1"/>
    <xf numFmtId="164" fontId="5" fillId="0" borderId="0" xfId="3" applyNumberFormat="1" applyFont="1"/>
    <xf numFmtId="164" fontId="3" fillId="7" borderId="0" xfId="3" applyNumberFormat="1" applyFont="1" applyFill="1"/>
    <xf numFmtId="0" fontId="1" fillId="7" borderId="0" xfId="0" applyFont="1" applyFill="1" applyAlignment="1">
      <alignment horizontal="center"/>
    </xf>
    <xf numFmtId="0" fontId="5" fillId="0" borderId="0" xfId="4" applyFont="1" applyFill="1">
      <alignment horizontal="center" vertical="top"/>
    </xf>
    <xf numFmtId="14" fontId="7" fillId="3" borderId="6" xfId="5" applyFont="1" applyFill="1" applyBorder="1">
      <alignment horizontal="center" vertical="center" wrapText="1"/>
    </xf>
    <xf numFmtId="43" fontId="12" fillId="3" borderId="6" xfId="1" applyFont="1" applyFill="1" applyBorder="1" applyAlignment="1">
      <alignment horizontal="center"/>
    </xf>
    <xf numFmtId="0" fontId="7" fillId="3" borderId="6" xfId="5" applyNumberFormat="1" applyFont="1" applyFill="1" applyBorder="1">
      <alignment horizontal="center" vertical="center" wrapText="1"/>
    </xf>
    <xf numFmtId="170" fontId="0" fillId="4" borderId="6" xfId="0" applyNumberFormat="1" applyFill="1" applyBorder="1" applyAlignment="1">
      <alignment horizontal="center"/>
    </xf>
    <xf numFmtId="170" fontId="0" fillId="4" borderId="13" xfId="0" applyNumberFormat="1" applyFill="1" applyBorder="1" applyAlignment="1">
      <alignment horizontal="center"/>
    </xf>
    <xf numFmtId="0" fontId="1" fillId="8" borderId="0" xfId="0" applyFont="1" applyFill="1"/>
    <xf numFmtId="37" fontId="3" fillId="8" borderId="0" xfId="0" applyNumberFormat="1" applyFont="1" applyFill="1"/>
    <xf numFmtId="166" fontId="3" fillId="8" borderId="0" xfId="0" applyNumberFormat="1" applyFont="1" applyFill="1"/>
    <xf numFmtId="10" fontId="3" fillId="8" borderId="0" xfId="2" applyNumberFormat="1" applyFont="1" applyFill="1"/>
    <xf numFmtId="165" fontId="1" fillId="8" borderId="0" xfId="1" applyNumberFormat="1" applyFont="1" applyFill="1"/>
    <xf numFmtId="164" fontId="3" fillId="8" borderId="0" xfId="3" applyNumberFormat="1" applyFont="1" applyFill="1"/>
    <xf numFmtId="165" fontId="3" fillId="8" borderId="0" xfId="1" applyNumberFormat="1" applyFont="1" applyFill="1"/>
    <xf numFmtId="14" fontId="3" fillId="8" borderId="0" xfId="0" applyNumberFormat="1" applyFont="1" applyFill="1"/>
    <xf numFmtId="14" fontId="1" fillId="8" borderId="0" xfId="6" applyNumberFormat="1" applyFont="1" applyFill="1"/>
    <xf numFmtId="37" fontId="3" fillId="8" borderId="0" xfId="3" applyFont="1" applyFill="1"/>
    <xf numFmtId="3" fontId="3" fillId="8" borderId="0" xfId="1" applyNumberFormat="1" applyFont="1" applyFill="1"/>
    <xf numFmtId="49" fontId="3" fillId="8" borderId="0" xfId="3" applyNumberFormat="1" applyFont="1" applyFill="1" applyAlignment="1">
      <alignment horizontal="center"/>
    </xf>
    <xf numFmtId="49" fontId="0" fillId="0" borderId="0" xfId="0" applyNumberFormat="1"/>
    <xf numFmtId="0" fontId="1" fillId="7" borderId="0" xfId="0" applyFont="1" applyFill="1"/>
    <xf numFmtId="0" fontId="14" fillId="7" borderId="14" xfId="8" applyFont="1" applyFill="1" applyBorder="1"/>
    <xf numFmtId="0" fontId="16" fillId="7" borderId="15" xfId="9" applyFont="1" applyFill="1" applyBorder="1"/>
    <xf numFmtId="0" fontId="1" fillId="7" borderId="15" xfId="0" applyFont="1" applyFill="1" applyBorder="1"/>
    <xf numFmtId="0" fontId="1" fillId="7" borderId="16" xfId="0" applyFont="1" applyFill="1" applyBorder="1"/>
    <xf numFmtId="0" fontId="16" fillId="7" borderId="17" xfId="9" applyFont="1" applyFill="1" applyBorder="1"/>
    <xf numFmtId="0" fontId="16" fillId="7" borderId="0" xfId="9" applyFont="1" applyFill="1"/>
    <xf numFmtId="0" fontId="17" fillId="7" borderId="0" xfId="0" applyFont="1" applyFill="1"/>
    <xf numFmtId="0" fontId="1" fillId="7" borderId="20" xfId="0" applyFont="1" applyFill="1" applyBorder="1"/>
    <xf numFmtId="0" fontId="1" fillId="7" borderId="0" xfId="0" applyFont="1" applyFill="1" applyAlignment="1">
      <alignment horizontal="left"/>
    </xf>
    <xf numFmtId="0" fontId="1" fillId="7" borderId="17" xfId="0" applyFont="1" applyFill="1" applyBorder="1"/>
    <xf numFmtId="0" fontId="7" fillId="7" borderId="0" xfId="0" applyFont="1" applyFill="1" applyAlignment="1">
      <alignment horizontal="left"/>
    </xf>
    <xf numFmtId="0" fontId="20" fillId="4" borderId="0" xfId="8" applyFont="1" applyFill="1" applyBorder="1"/>
    <xf numFmtId="0" fontId="20" fillId="7" borderId="0" xfId="8" applyFont="1" applyFill="1" applyBorder="1"/>
    <xf numFmtId="0" fontId="1" fillId="7" borderId="21" xfId="0" applyFont="1" applyFill="1" applyBorder="1"/>
    <xf numFmtId="0" fontId="1" fillId="7" borderId="11" xfId="0" applyFont="1" applyFill="1" applyBorder="1"/>
    <xf numFmtId="0" fontId="1" fillId="7" borderId="22" xfId="0" applyFont="1" applyFill="1" applyBorder="1"/>
    <xf numFmtId="0" fontId="18" fillId="9" borderId="17" xfId="9" applyFont="1" applyFill="1" applyBorder="1" applyAlignment="1">
      <alignment horizontal="center"/>
    </xf>
    <xf numFmtId="0" fontId="18" fillId="9" borderId="0" xfId="9" applyFont="1" applyFill="1" applyAlignment="1">
      <alignment horizontal="center"/>
    </xf>
    <xf numFmtId="0" fontId="18" fillId="9" borderId="20" xfId="9" applyFont="1" applyFill="1" applyBorder="1" applyAlignment="1">
      <alignment horizontal="center"/>
    </xf>
    <xf numFmtId="0" fontId="19" fillId="4" borderId="17" xfId="9" applyFont="1" applyFill="1" applyBorder="1" applyAlignment="1">
      <alignment horizontal="center"/>
    </xf>
    <xf numFmtId="0" fontId="19" fillId="4" borderId="0" xfId="9" applyFont="1" applyFill="1" applyAlignment="1">
      <alignment horizontal="center"/>
    </xf>
    <xf numFmtId="0" fontId="19" fillId="4" borderId="20" xfId="9" applyFont="1" applyFill="1" applyBorder="1" applyAlignment="1">
      <alignment horizontal="center"/>
    </xf>
    <xf numFmtId="14" fontId="1" fillId="4" borderId="18" xfId="0" applyNumberFormat="1" applyFont="1" applyFill="1" applyBorder="1" applyAlignment="1">
      <alignment horizontal="center"/>
    </xf>
    <xf numFmtId="0" fontId="1" fillId="4" borderId="7" xfId="0" applyFont="1" applyFill="1" applyBorder="1" applyAlignment="1">
      <alignment horizontal="center"/>
    </xf>
    <xf numFmtId="0" fontId="7" fillId="9" borderId="18" xfId="0" applyFont="1" applyFill="1" applyBorder="1" applyAlignment="1">
      <alignment horizontal="left"/>
    </xf>
    <xf numFmtId="0" fontId="7" fillId="9" borderId="7" xfId="0" applyFont="1" applyFill="1" applyBorder="1" applyAlignment="1">
      <alignment horizontal="left"/>
    </xf>
    <xf numFmtId="0" fontId="1" fillId="4" borderId="18" xfId="0" applyFont="1" applyFill="1" applyBorder="1" applyAlignment="1">
      <alignment horizontal="center"/>
    </xf>
    <xf numFmtId="0" fontId="1" fillId="4" borderId="19" xfId="0" applyFont="1" applyFill="1" applyBorder="1" applyAlignment="1">
      <alignment horizontal="center"/>
    </xf>
    <xf numFmtId="37" fontId="3" fillId="2" borderId="1" xfId="3" applyFont="1" applyFill="1" applyBorder="1" applyAlignment="1">
      <alignment horizontal="center" vertical="center" wrapText="1"/>
    </xf>
    <xf numFmtId="37" fontId="3" fillId="2" borderId="2" xfId="3" applyFont="1" applyFill="1" applyBorder="1" applyAlignment="1">
      <alignment horizontal="center" vertical="center"/>
    </xf>
    <xf numFmtId="37" fontId="3" fillId="2" borderId="3" xfId="3" applyFont="1" applyFill="1" applyBorder="1" applyAlignment="1">
      <alignment horizontal="center" vertical="center"/>
    </xf>
    <xf numFmtId="37" fontId="3" fillId="2" borderId="4" xfId="3" applyFont="1" applyFill="1" applyBorder="1" applyAlignment="1">
      <alignment horizontal="center" vertical="center"/>
    </xf>
    <xf numFmtId="37" fontId="3" fillId="2" borderId="0" xfId="3" applyFont="1" applyFill="1" applyAlignment="1">
      <alignment horizontal="center" vertical="center"/>
    </xf>
    <xf numFmtId="37" fontId="3" fillId="2" borderId="5" xfId="3" applyFont="1" applyFill="1" applyBorder="1" applyAlignment="1">
      <alignment horizontal="center" vertical="center"/>
    </xf>
    <xf numFmtId="37" fontId="3" fillId="2" borderId="8" xfId="3" applyFont="1" applyFill="1" applyBorder="1" applyAlignment="1">
      <alignment horizontal="center" vertical="center"/>
    </xf>
    <xf numFmtId="37" fontId="3" fillId="2" borderId="9" xfId="3" applyFont="1" applyFill="1" applyBorder="1" applyAlignment="1">
      <alignment horizontal="center" vertical="center"/>
    </xf>
    <xf numFmtId="37" fontId="3" fillId="2" borderId="10" xfId="3" applyFont="1" applyFill="1" applyBorder="1" applyAlignment="1">
      <alignment horizontal="center" vertical="center"/>
    </xf>
    <xf numFmtId="14" fontId="7" fillId="3" borderId="0" xfId="5" applyFont="1" applyFill="1" applyBorder="1" applyAlignment="1">
      <alignment horizontal="center" vertical="center"/>
    </xf>
    <xf numFmtId="14" fontId="7" fillId="3" borderId="0" xfId="5" applyFont="1" applyFill="1" applyBorder="1" applyAlignment="1">
      <alignment horizontal="center" vertical="center" wrapText="1"/>
    </xf>
  </cellXfs>
  <cellStyles count="10">
    <cellStyle name="Currency_Worksheet in 53   Accounts Receivable Tests" xfId="7" xr:uid="{1F01DB1F-0613-4BD2-B564-0AA3EC58CA51}"/>
    <cellStyle name="Heading" xfId="5" xr:uid="{33BA6534-EAE1-4FD4-97E4-C23904740893}"/>
    <cellStyle name="Köprü 2" xfId="8" xr:uid="{ED465CD2-CDA9-400D-B167-573196227EE6}"/>
    <cellStyle name="Normal" xfId="0" builtinId="0"/>
    <cellStyle name="Normal 2" xfId="9" xr:uid="{B31073F0-7309-4AF5-BD8E-BBE7978707FE}"/>
    <cellStyle name="Normal 3" xfId="6" xr:uid="{8ECA74FF-D9D9-483C-BD8B-A7D3E56ABD8E}"/>
    <cellStyle name="Normal_Worksheet in 53   Accounts Receivable Tests" xfId="3" xr:uid="{7E473D02-A768-4F2B-8EA9-FE43F475BBC3}"/>
    <cellStyle name="Tickmark" xfId="4" xr:uid="{290A580F-6B6F-4E30-979E-3EB1CCDAA3BC}"/>
    <cellStyle name="Virgül" xfId="1" builtinId="3"/>
    <cellStyle name="Yüzd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558800</xdr:colOff>
      <xdr:row>3</xdr:row>
      <xdr:rowOff>50800</xdr:rowOff>
    </xdr:from>
    <xdr:to>
      <xdr:col>3</xdr:col>
      <xdr:colOff>528320</xdr:colOff>
      <xdr:row>5</xdr:row>
      <xdr:rowOff>27940</xdr:rowOff>
    </xdr:to>
    <xdr:pic>
      <xdr:nvPicPr>
        <xdr:cNvPr id="2" name="Picture 2">
          <a:extLst>
            <a:ext uri="{FF2B5EF4-FFF2-40B4-BE49-F238E27FC236}">
              <a16:creationId xmlns:a16="http://schemas.microsoft.com/office/drawing/2014/main" id="{7035F90A-D3E7-4A06-A83C-AA9191E4490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6025" y="579438"/>
          <a:ext cx="1283970" cy="32956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127000</xdr:colOff>
      <xdr:row>1</xdr:row>
      <xdr:rowOff>0</xdr:rowOff>
    </xdr:from>
    <xdr:to>
      <xdr:col>1</xdr:col>
      <xdr:colOff>1419437</xdr:colOff>
      <xdr:row>3</xdr:row>
      <xdr:rowOff>33232</xdr:rowOff>
    </xdr:to>
    <xdr:pic>
      <xdr:nvPicPr>
        <xdr:cNvPr id="2" name="Picture 2">
          <a:extLst>
            <a:ext uri="{FF2B5EF4-FFF2-40B4-BE49-F238E27FC236}">
              <a16:creationId xmlns:a16="http://schemas.microsoft.com/office/drawing/2014/main" id="{45201023-B40E-470D-9AD4-9F3EFCB62A8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600" y="177800"/>
          <a:ext cx="1292437" cy="3888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428837</xdr:colOff>
      <xdr:row>3</xdr:row>
      <xdr:rowOff>33232</xdr:rowOff>
    </xdr:to>
    <xdr:pic>
      <xdr:nvPicPr>
        <xdr:cNvPr id="2" name="Picture 2">
          <a:extLst>
            <a:ext uri="{FF2B5EF4-FFF2-40B4-BE49-F238E27FC236}">
              <a16:creationId xmlns:a16="http://schemas.microsoft.com/office/drawing/2014/main" id="{26382069-9EFE-4A6B-8F14-3504678678B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100" y="177800"/>
          <a:ext cx="1292437" cy="388832"/>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3E293-E7A5-4946-8F85-88696BA8D6E0}">
  <sheetPr>
    <pageSetUpPr fitToPage="1"/>
  </sheetPr>
  <dimension ref="B1:S45"/>
  <sheetViews>
    <sheetView showGridLines="0" view="pageBreakPreview" zoomScale="60" zoomScaleNormal="90" workbookViewId="0">
      <selection activeCell="G33" sqref="G33"/>
    </sheetView>
  </sheetViews>
  <sheetFormatPr defaultColWidth="8.625" defaultRowHeight="14.1"/>
  <cols>
    <col min="1" max="16384" width="8.625" style="46"/>
  </cols>
  <sheetData>
    <row r="1" spans="2:19" ht="14.45" thickBot="1"/>
    <row r="2" spans="2:19" ht="14.45" thickBot="1">
      <c r="B2" s="47"/>
      <c r="C2" s="48"/>
      <c r="D2" s="48"/>
      <c r="E2" s="48"/>
      <c r="F2" s="48"/>
      <c r="G2" s="48"/>
      <c r="H2" s="48"/>
      <c r="I2" s="48"/>
      <c r="J2" s="49"/>
      <c r="K2" s="49"/>
      <c r="L2" s="49"/>
      <c r="M2" s="49"/>
      <c r="N2" s="49"/>
      <c r="O2" s="49"/>
      <c r="P2" s="49"/>
      <c r="Q2" s="49"/>
      <c r="R2" s="49"/>
      <c r="S2" s="50"/>
    </row>
    <row r="3" spans="2:19" ht="14.45" thickBot="1">
      <c r="B3" s="51"/>
      <c r="C3" s="52"/>
      <c r="D3" s="52"/>
      <c r="E3" s="52"/>
      <c r="F3" s="52"/>
      <c r="G3" s="52"/>
      <c r="H3" s="52"/>
      <c r="I3" s="52"/>
      <c r="K3" s="71" t="s">
        <v>0</v>
      </c>
      <c r="L3" s="72"/>
      <c r="M3" s="53" t="s">
        <v>1</v>
      </c>
      <c r="N3" s="73" t="s">
        <v>2</v>
      </c>
      <c r="O3" s="74"/>
      <c r="P3" s="70"/>
      <c r="Q3" s="26"/>
      <c r="R3" s="26"/>
      <c r="S3" s="54"/>
    </row>
    <row r="4" spans="2:19" ht="14.45" thickBot="1">
      <c r="B4" s="51"/>
      <c r="C4" s="52"/>
      <c r="D4" s="52"/>
      <c r="E4" s="52"/>
      <c r="F4" s="52"/>
      <c r="G4" s="52"/>
      <c r="H4" s="52"/>
      <c r="I4" s="52"/>
      <c r="K4" s="55"/>
      <c r="L4" s="55"/>
      <c r="S4" s="54"/>
    </row>
    <row r="5" spans="2:19" ht="14.45" thickBot="1">
      <c r="B5" s="51"/>
      <c r="C5" s="52"/>
      <c r="D5" s="52"/>
      <c r="E5" s="52"/>
      <c r="F5" s="52"/>
      <c r="G5" s="52"/>
      <c r="H5" s="52"/>
      <c r="I5" s="52"/>
      <c r="K5" s="71" t="s">
        <v>3</v>
      </c>
      <c r="L5" s="72"/>
      <c r="M5" s="53" t="s">
        <v>1</v>
      </c>
      <c r="N5" s="69">
        <v>44196</v>
      </c>
      <c r="O5" s="74"/>
      <c r="P5" s="70"/>
      <c r="S5" s="54"/>
    </row>
    <row r="6" spans="2:19" ht="14.45" thickBot="1">
      <c r="B6" s="51"/>
      <c r="C6" s="52"/>
      <c r="D6" s="52"/>
      <c r="E6" s="52"/>
      <c r="F6" s="52"/>
      <c r="G6" s="52"/>
      <c r="H6" s="52"/>
      <c r="I6" s="52"/>
      <c r="K6" s="55"/>
      <c r="L6" s="55"/>
      <c r="S6" s="54"/>
    </row>
    <row r="7" spans="2:19" ht="14.45" thickBot="1">
      <c r="B7" s="51"/>
      <c r="C7" s="52"/>
      <c r="D7" s="52"/>
      <c r="E7" s="52"/>
      <c r="F7" s="52"/>
      <c r="G7" s="52"/>
      <c r="H7" s="52"/>
      <c r="I7" s="52"/>
      <c r="K7" s="71" t="s">
        <v>4</v>
      </c>
      <c r="L7" s="72"/>
      <c r="M7" s="53" t="s">
        <v>1</v>
      </c>
      <c r="N7" s="73" t="s">
        <v>5</v>
      </c>
      <c r="O7" s="70"/>
      <c r="Q7" s="69" t="s">
        <v>6</v>
      </c>
      <c r="R7" s="70"/>
      <c r="S7" s="54"/>
    </row>
    <row r="8" spans="2:19" ht="14.45" thickBot="1">
      <c r="B8" s="51"/>
      <c r="C8" s="52"/>
      <c r="D8" s="52"/>
      <c r="E8" s="52"/>
      <c r="F8" s="52"/>
      <c r="G8" s="52"/>
      <c r="H8" s="52"/>
      <c r="I8" s="52"/>
      <c r="S8" s="54"/>
    </row>
    <row r="9" spans="2:19" ht="14.45" thickBot="1">
      <c r="B9" s="51"/>
      <c r="C9" s="52"/>
      <c r="D9" s="52"/>
      <c r="E9" s="52"/>
      <c r="F9" s="52"/>
      <c r="G9" s="52"/>
      <c r="H9" s="52"/>
      <c r="I9" s="52"/>
      <c r="K9" s="71" t="s">
        <v>7</v>
      </c>
      <c r="L9" s="72"/>
      <c r="M9" s="53" t="s">
        <v>1</v>
      </c>
      <c r="N9" s="73" t="s">
        <v>8</v>
      </c>
      <c r="O9" s="70"/>
      <c r="Q9" s="69" t="s">
        <v>9</v>
      </c>
      <c r="R9" s="70"/>
      <c r="S9" s="54"/>
    </row>
    <row r="10" spans="2:19" ht="14.45" thickBot="1">
      <c r="B10" s="56"/>
      <c r="S10" s="54"/>
    </row>
    <row r="11" spans="2:19" ht="14.45" thickBot="1">
      <c r="B11" s="56"/>
      <c r="K11" s="71" t="s">
        <v>10</v>
      </c>
      <c r="L11" s="72"/>
      <c r="M11" s="53" t="s">
        <v>1</v>
      </c>
      <c r="N11" s="73" t="s">
        <v>11</v>
      </c>
      <c r="O11" s="70"/>
      <c r="Q11" s="69" t="s">
        <v>12</v>
      </c>
      <c r="R11" s="70"/>
      <c r="S11" s="54"/>
    </row>
    <row r="12" spans="2:19">
      <c r="B12" s="56"/>
      <c r="K12" s="57"/>
      <c r="L12" s="57"/>
      <c r="M12" s="53"/>
      <c r="N12" s="26"/>
      <c r="O12" s="26"/>
      <c r="Q12" s="26"/>
      <c r="R12" s="26"/>
      <c r="S12" s="54"/>
    </row>
    <row r="13" spans="2:19">
      <c r="B13" s="56"/>
      <c r="K13" s="57"/>
      <c r="L13" s="57"/>
      <c r="M13" s="53"/>
      <c r="N13" s="26"/>
      <c r="O13" s="26"/>
      <c r="Q13" s="26"/>
      <c r="R13" s="26"/>
      <c r="S13" s="54"/>
    </row>
    <row r="14" spans="2:19">
      <c r="B14" s="56"/>
      <c r="K14" s="57"/>
      <c r="L14" s="57"/>
      <c r="M14" s="53"/>
      <c r="N14" s="26"/>
      <c r="O14" s="26"/>
      <c r="Q14" s="26"/>
      <c r="R14" s="26"/>
      <c r="S14" s="54"/>
    </row>
    <row r="15" spans="2:19">
      <c r="B15" s="56"/>
      <c r="K15" s="57"/>
      <c r="L15" s="57"/>
      <c r="M15" s="53"/>
      <c r="N15" s="26"/>
      <c r="O15" s="26"/>
      <c r="Q15" s="26"/>
      <c r="R15" s="26"/>
      <c r="S15" s="54"/>
    </row>
    <row r="16" spans="2:19">
      <c r="B16" s="56"/>
      <c r="K16" s="57"/>
      <c r="L16" s="57"/>
      <c r="M16" s="53"/>
      <c r="N16" s="26"/>
      <c r="O16" s="26"/>
      <c r="Q16" s="26"/>
      <c r="R16" s="26"/>
      <c r="S16" s="54"/>
    </row>
    <row r="17" spans="2:19">
      <c r="B17" s="56"/>
      <c r="K17" s="57"/>
      <c r="L17" s="57"/>
      <c r="M17" s="53"/>
      <c r="N17" s="26"/>
      <c r="O17" s="26"/>
      <c r="Q17" s="26"/>
      <c r="R17" s="26"/>
      <c r="S17" s="54"/>
    </row>
    <row r="18" spans="2:19">
      <c r="B18" s="56"/>
      <c r="K18" s="57"/>
      <c r="L18" s="57"/>
      <c r="M18" s="53"/>
      <c r="N18" s="26"/>
      <c r="O18" s="26"/>
      <c r="Q18" s="26"/>
      <c r="R18" s="26"/>
      <c r="S18" s="54"/>
    </row>
    <row r="19" spans="2:19">
      <c r="B19" s="56"/>
      <c r="K19" s="57"/>
      <c r="L19" s="57"/>
      <c r="M19" s="53"/>
      <c r="N19" s="26"/>
      <c r="O19" s="26"/>
      <c r="Q19" s="26"/>
      <c r="R19" s="26"/>
      <c r="S19" s="54"/>
    </row>
    <row r="20" spans="2:19">
      <c r="B20" s="56"/>
      <c r="K20" s="57"/>
      <c r="L20" s="57"/>
      <c r="M20" s="53"/>
      <c r="N20" s="26"/>
      <c r="O20" s="26"/>
      <c r="Q20" s="26"/>
      <c r="R20" s="26"/>
      <c r="S20" s="54"/>
    </row>
    <row r="21" spans="2:19">
      <c r="B21" s="56"/>
      <c r="K21" s="57"/>
      <c r="L21" s="57"/>
      <c r="M21" s="53"/>
      <c r="N21" s="26"/>
      <c r="O21" s="26"/>
      <c r="Q21" s="26"/>
      <c r="R21" s="26"/>
      <c r="S21" s="54"/>
    </row>
    <row r="22" spans="2:19">
      <c r="B22" s="56"/>
      <c r="K22" s="57"/>
      <c r="L22" s="57"/>
      <c r="M22" s="53"/>
      <c r="N22" s="26"/>
      <c r="O22" s="26"/>
      <c r="Q22" s="26"/>
      <c r="R22" s="26"/>
      <c r="S22" s="54"/>
    </row>
    <row r="23" spans="2:19">
      <c r="B23" s="56"/>
      <c r="K23" s="57"/>
      <c r="L23" s="57"/>
      <c r="M23" s="53"/>
      <c r="N23" s="26"/>
      <c r="O23" s="26"/>
      <c r="Q23" s="26"/>
      <c r="R23" s="26"/>
      <c r="S23" s="54"/>
    </row>
    <row r="24" spans="2:19">
      <c r="B24" s="51"/>
      <c r="C24" s="52"/>
      <c r="D24" s="52"/>
      <c r="E24" s="52"/>
      <c r="F24" s="52"/>
      <c r="G24" s="52"/>
      <c r="H24" s="52"/>
      <c r="I24" s="52"/>
      <c r="S24" s="54"/>
    </row>
    <row r="25" spans="2:19">
      <c r="B25" s="63" t="s">
        <v>13</v>
      </c>
      <c r="C25" s="64"/>
      <c r="D25" s="64"/>
      <c r="E25" s="64"/>
      <c r="F25" s="64"/>
      <c r="G25" s="64"/>
      <c r="H25" s="64"/>
      <c r="I25" s="64"/>
      <c r="J25" s="64"/>
      <c r="K25" s="64"/>
      <c r="L25" s="64"/>
      <c r="M25" s="64"/>
      <c r="N25" s="64"/>
      <c r="O25" s="64"/>
      <c r="P25" s="64"/>
      <c r="Q25" s="64"/>
      <c r="R25" s="64"/>
      <c r="S25" s="65"/>
    </row>
    <row r="26" spans="2:19">
      <c r="B26" s="66" t="s">
        <v>14</v>
      </c>
      <c r="C26" s="67"/>
      <c r="D26" s="67"/>
      <c r="E26" s="67"/>
      <c r="F26" s="67"/>
      <c r="G26" s="67"/>
      <c r="H26" s="67"/>
      <c r="I26" s="67"/>
      <c r="J26" s="67"/>
      <c r="K26" s="67"/>
      <c r="L26" s="67"/>
      <c r="M26" s="67"/>
      <c r="N26" s="67"/>
      <c r="O26" s="67"/>
      <c r="P26" s="67"/>
      <c r="Q26" s="67"/>
      <c r="R26" s="67"/>
      <c r="S26" s="68"/>
    </row>
    <row r="27" spans="2:19">
      <c r="B27" s="51"/>
      <c r="C27" s="52"/>
      <c r="D27" s="52"/>
      <c r="E27" s="52"/>
      <c r="F27" s="52"/>
      <c r="G27" s="52"/>
      <c r="H27" s="52"/>
      <c r="I27" s="52"/>
      <c r="S27" s="54"/>
    </row>
    <row r="28" spans="2:19">
      <c r="B28" s="51"/>
      <c r="D28" s="52"/>
      <c r="E28" s="52"/>
      <c r="F28" s="52"/>
      <c r="G28" s="52"/>
      <c r="H28" s="52"/>
      <c r="I28" s="52"/>
      <c r="S28" s="54"/>
    </row>
    <row r="29" spans="2:19">
      <c r="B29" s="51"/>
      <c r="D29" s="52"/>
      <c r="E29" s="52"/>
      <c r="F29" s="52"/>
      <c r="G29" s="52"/>
      <c r="H29" s="52"/>
      <c r="I29" s="52"/>
      <c r="S29" s="54"/>
    </row>
    <row r="30" spans="2:19">
      <c r="B30" s="51"/>
      <c r="C30" s="58" t="s">
        <v>15</v>
      </c>
      <c r="D30" s="46" t="s">
        <v>16</v>
      </c>
      <c r="S30" s="54"/>
    </row>
    <row r="31" spans="2:19">
      <c r="B31" s="51"/>
      <c r="C31" s="58" t="s">
        <v>15</v>
      </c>
      <c r="D31" s="46" t="s">
        <v>17</v>
      </c>
      <c r="E31"/>
      <c r="F31"/>
      <c r="G31"/>
      <c r="H31"/>
      <c r="I31"/>
      <c r="J31"/>
      <c r="K31"/>
      <c r="L31"/>
      <c r="S31" s="54"/>
    </row>
    <row r="32" spans="2:19">
      <c r="B32" s="51"/>
      <c r="C32" s="58" t="s">
        <v>15</v>
      </c>
      <c r="D32" s="46" t="s">
        <v>18</v>
      </c>
      <c r="I32" s="52"/>
      <c r="S32" s="54"/>
    </row>
    <row r="33" spans="2:19">
      <c r="B33" s="51"/>
      <c r="C33" s="58" t="s">
        <v>15</v>
      </c>
      <c r="D33" s="46" t="s">
        <v>19</v>
      </c>
      <c r="I33" s="52"/>
      <c r="S33" s="54"/>
    </row>
    <row r="34" spans="2:19">
      <c r="B34" s="51"/>
      <c r="C34" s="59"/>
      <c r="I34" s="52"/>
      <c r="S34" s="54"/>
    </row>
    <row r="35" spans="2:19">
      <c r="B35" s="51"/>
      <c r="C35" s="59"/>
      <c r="I35" s="52"/>
      <c r="S35" s="54"/>
    </row>
    <row r="36" spans="2:19">
      <c r="B36" s="51"/>
      <c r="I36" s="52"/>
      <c r="S36" s="54"/>
    </row>
    <row r="37" spans="2:19">
      <c r="B37" s="51"/>
      <c r="C37" s="59"/>
      <c r="I37" s="52"/>
      <c r="S37" s="54"/>
    </row>
    <row r="38" spans="2:19">
      <c r="B38" s="51"/>
      <c r="C38" s="59"/>
      <c r="I38" s="52"/>
      <c r="S38" s="54"/>
    </row>
    <row r="39" spans="2:19">
      <c r="B39" s="51"/>
      <c r="C39" s="59"/>
      <c r="I39" s="52"/>
      <c r="S39" s="54"/>
    </row>
    <row r="40" spans="2:19">
      <c r="B40" s="51"/>
      <c r="C40" s="59"/>
      <c r="I40" s="52"/>
      <c r="S40" s="54"/>
    </row>
    <row r="41" spans="2:19">
      <c r="B41" s="51"/>
      <c r="S41" s="54"/>
    </row>
    <row r="42" spans="2:19">
      <c r="B42" s="51"/>
      <c r="S42" s="54"/>
    </row>
    <row r="43" spans="2:19">
      <c r="B43" s="56"/>
      <c r="S43" s="54"/>
    </row>
    <row r="44" spans="2:19">
      <c r="B44" s="56"/>
      <c r="S44" s="54"/>
    </row>
    <row r="45" spans="2:19" ht="14.45" thickBot="1">
      <c r="B45" s="60"/>
      <c r="C45" s="61"/>
      <c r="D45" s="61"/>
      <c r="E45" s="61"/>
      <c r="F45" s="61"/>
      <c r="G45" s="61"/>
      <c r="H45" s="61"/>
      <c r="I45" s="61"/>
      <c r="J45" s="61"/>
      <c r="K45" s="61"/>
      <c r="L45" s="61"/>
      <c r="M45" s="61"/>
      <c r="N45" s="61"/>
      <c r="O45" s="61"/>
      <c r="P45" s="61"/>
      <c r="Q45" s="61"/>
      <c r="R45" s="61"/>
      <c r="S45" s="62"/>
    </row>
  </sheetData>
  <mergeCells count="15">
    <mergeCell ref="K3:L3"/>
    <mergeCell ref="N3:P3"/>
    <mergeCell ref="K5:L5"/>
    <mergeCell ref="N5:P5"/>
    <mergeCell ref="K7:L7"/>
    <mergeCell ref="N7:O7"/>
    <mergeCell ref="B25:S25"/>
    <mergeCell ref="B26:S26"/>
    <mergeCell ref="Q7:R7"/>
    <mergeCell ref="K9:L9"/>
    <mergeCell ref="N9:O9"/>
    <mergeCell ref="Q9:R9"/>
    <mergeCell ref="K11:L11"/>
    <mergeCell ref="N11:O11"/>
    <mergeCell ref="Q11:R11"/>
  </mergeCells>
  <hyperlinks>
    <hyperlink ref="C30" location="B01.07_Onemli_Yan_Riskleri!B5" display="B01.07" xr:uid="{42B83847-7EBA-41ED-AC3D-B279E6AC634E}"/>
    <hyperlink ref="C31" location="B01.07_Onemli_Yan_Riskleri!B5" display="B01.07" xr:uid="{901B8120-1EF4-4764-BCD5-2E0969A04BB9}"/>
    <hyperlink ref="C32" location="B01.07_Onemli_Yan_Riskleri!B5" display="B01.07" xr:uid="{050392AC-9148-4C62-908B-F8604BB562EE}"/>
    <hyperlink ref="C33" location="B01.07_Onemli_Yan_Riskleri!B5" display="B01.07" xr:uid="{353C1685-D565-4076-B984-C0D6C3813125}"/>
  </hyperlinks>
  <pageMargins left="0.7" right="0.7" top="0.75" bottom="0.75" header="0.3" footer="0.3"/>
  <pageSetup paperSize="9" scale="5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9802-07FE-41A9-85B7-394272EB85E2}">
  <sheetPr>
    <tabColor rgb="FFFFC000"/>
  </sheetPr>
  <dimension ref="A1:AE57"/>
  <sheetViews>
    <sheetView showGridLines="0" tabSelected="1" zoomScale="70" zoomScaleNormal="70" workbookViewId="0">
      <selection activeCell="B15" sqref="B15"/>
    </sheetView>
  </sheetViews>
  <sheetFormatPr defaultColWidth="8.375" defaultRowHeight="14.1"/>
  <cols>
    <col min="1" max="1" width="9.625" style="1" bestFit="1" customWidth="1"/>
    <col min="2" max="2" width="22.875" style="1" customWidth="1"/>
    <col min="3" max="3" width="46.5" style="1" bestFit="1" customWidth="1"/>
    <col min="4" max="4" width="14" style="1" bestFit="1" customWidth="1"/>
    <col min="5" max="7" width="12.625" style="1" customWidth="1"/>
    <col min="8" max="8" width="15.375" style="1" customWidth="1"/>
    <col min="9" max="9" width="8" style="1" customWidth="1"/>
    <col min="10" max="10" width="9.875" style="1" customWidth="1"/>
    <col min="11" max="11" width="14.125" style="2" customWidth="1"/>
    <col min="12" max="12" width="4.875" style="1" customWidth="1"/>
    <col min="13" max="14" width="14.125" style="2" customWidth="1"/>
    <col min="15" max="15" width="5" style="1" customWidth="1"/>
    <col min="16" max="16" width="25.875" style="27" customWidth="1"/>
    <col min="17" max="17" width="25" style="27" customWidth="1"/>
    <col min="18" max="18" width="13.375" style="27" bestFit="1" customWidth="1"/>
    <col min="19" max="19" width="3.875" style="1" customWidth="1"/>
    <col min="20" max="20" width="19.125" style="1" customWidth="1"/>
    <col min="21" max="21" width="15.625" style="1" customWidth="1"/>
    <col min="22" max="22" width="12.625" style="1" bestFit="1" customWidth="1"/>
    <col min="23" max="23" width="9" style="1" bestFit="1" customWidth="1"/>
    <col min="24" max="24" width="12.625" style="1" bestFit="1" customWidth="1"/>
    <col min="25" max="25" width="4.625" style="1" bestFit="1" customWidth="1"/>
    <col min="26" max="26" width="17.5" style="1" customWidth="1"/>
    <col min="27" max="27" width="14.375" style="1" customWidth="1"/>
    <col min="28" max="28" width="15.625" style="1" customWidth="1"/>
    <col min="29" max="29" width="12.125" style="1" customWidth="1"/>
    <col min="30" max="30" width="10.125" style="1" bestFit="1" customWidth="1"/>
    <col min="31" max="31" width="14.875" style="1" bestFit="1" customWidth="1"/>
    <col min="32" max="32" width="8.375" style="1"/>
    <col min="33" max="33" width="11.625" style="1" customWidth="1"/>
    <col min="34" max="248" width="8.375" style="1"/>
    <col min="249" max="249" width="9.625" style="1" bestFit="1" customWidth="1"/>
    <col min="250" max="250" width="22.875" style="1" customWidth="1"/>
    <col min="251" max="251" width="28.375" style="1" customWidth="1"/>
    <col min="252" max="252" width="14" style="1" bestFit="1" customWidth="1"/>
    <col min="253" max="255" width="12.625" style="1" customWidth="1"/>
    <col min="256" max="256" width="15.375" style="1" customWidth="1"/>
    <col min="257" max="257" width="8" style="1" customWidth="1"/>
    <col min="258" max="258" width="9.875" style="1" customWidth="1"/>
    <col min="259" max="259" width="14.125" style="1" customWidth="1"/>
    <col min="260" max="260" width="7.5" style="1" customWidth="1"/>
    <col min="261" max="261" width="18.625" style="1" customWidth="1"/>
    <col min="262" max="262" width="10.625" style="1" customWidth="1"/>
    <col min="263" max="263" width="25" style="1" customWidth="1"/>
    <col min="264" max="264" width="13.375" style="1" bestFit="1" customWidth="1"/>
    <col min="265" max="265" width="14.5" style="1" customWidth="1"/>
    <col min="266" max="266" width="10.5" style="1" bestFit="1" customWidth="1"/>
    <col min="267" max="267" width="18.625" style="1" customWidth="1"/>
    <col min="268" max="268" width="14.125" style="1" customWidth="1"/>
    <col min="269" max="269" width="3.375" style="1" customWidth="1"/>
    <col min="270" max="270" width="12.375" style="1" bestFit="1" customWidth="1"/>
    <col min="271" max="271" width="14.875" style="1" customWidth="1"/>
    <col min="272" max="272" width="3.875" style="1" customWidth="1"/>
    <col min="273" max="273" width="10.375" style="1" customWidth="1"/>
    <col min="274" max="275" width="12.625" style="1" bestFit="1" customWidth="1"/>
    <col min="276" max="276" width="0.125" style="1" customWidth="1"/>
    <col min="277" max="277" width="9" style="1" bestFit="1" customWidth="1"/>
    <col min="278" max="278" width="9.125" style="1" customWidth="1"/>
    <col min="279" max="279" width="12.625" style="1" bestFit="1" customWidth="1"/>
    <col min="280" max="280" width="4.625" style="1" bestFit="1" customWidth="1"/>
    <col min="281" max="281" width="8.375" style="1"/>
    <col min="282" max="282" width="11.125" style="1" customWidth="1"/>
    <col min="283" max="283" width="11.625" style="1" bestFit="1" customWidth="1"/>
    <col min="284" max="284" width="11.125" style="1" bestFit="1" customWidth="1"/>
    <col min="285" max="285" width="10.625" style="1" bestFit="1" customWidth="1"/>
    <col min="286" max="286" width="8" style="1" bestFit="1" customWidth="1"/>
    <col min="287" max="287" width="14.875" style="1" bestFit="1" customWidth="1"/>
    <col min="288" max="504" width="8.375" style="1"/>
    <col min="505" max="505" width="9.625" style="1" bestFit="1" customWidth="1"/>
    <col min="506" max="506" width="22.875" style="1" customWidth="1"/>
    <col min="507" max="507" width="28.375" style="1" customWidth="1"/>
    <col min="508" max="508" width="14" style="1" bestFit="1" customWidth="1"/>
    <col min="509" max="511" width="12.625" style="1" customWidth="1"/>
    <col min="512" max="512" width="15.375" style="1" customWidth="1"/>
    <col min="513" max="513" width="8" style="1" customWidth="1"/>
    <col min="514" max="514" width="9.875" style="1" customWidth="1"/>
    <col min="515" max="515" width="14.125" style="1" customWidth="1"/>
    <col min="516" max="516" width="7.5" style="1" customWidth="1"/>
    <col min="517" max="517" width="18.625" style="1" customWidth="1"/>
    <col min="518" max="518" width="10.625" style="1" customWidth="1"/>
    <col min="519" max="519" width="25" style="1" customWidth="1"/>
    <col min="520" max="520" width="13.375" style="1" bestFit="1" customWidth="1"/>
    <col min="521" max="521" width="14.5" style="1" customWidth="1"/>
    <col min="522" max="522" width="10.5" style="1" bestFit="1" customWidth="1"/>
    <col min="523" max="523" width="18.625" style="1" customWidth="1"/>
    <col min="524" max="524" width="14.125" style="1" customWidth="1"/>
    <col min="525" max="525" width="3.375" style="1" customWidth="1"/>
    <col min="526" max="526" width="12.375" style="1" bestFit="1" customWidth="1"/>
    <col min="527" max="527" width="14.875" style="1" customWidth="1"/>
    <col min="528" max="528" width="3.875" style="1" customWidth="1"/>
    <col min="529" max="529" width="10.375" style="1" customWidth="1"/>
    <col min="530" max="531" width="12.625" style="1" bestFit="1" customWidth="1"/>
    <col min="532" max="532" width="0.125" style="1" customWidth="1"/>
    <col min="533" max="533" width="9" style="1" bestFit="1" customWidth="1"/>
    <col min="534" max="534" width="9.125" style="1" customWidth="1"/>
    <col min="535" max="535" width="12.625" style="1" bestFit="1" customWidth="1"/>
    <col min="536" max="536" width="4.625" style="1" bestFit="1" customWidth="1"/>
    <col min="537" max="537" width="8.375" style="1"/>
    <col min="538" max="538" width="11.125" style="1" customWidth="1"/>
    <col min="539" max="539" width="11.625" style="1" bestFit="1" customWidth="1"/>
    <col min="540" max="540" width="11.125" style="1" bestFit="1" customWidth="1"/>
    <col min="541" max="541" width="10.625" style="1" bestFit="1" customWidth="1"/>
    <col min="542" max="542" width="8" style="1" bestFit="1" customWidth="1"/>
    <col min="543" max="543" width="14.875" style="1" bestFit="1" customWidth="1"/>
    <col min="544" max="760" width="8.375" style="1"/>
    <col min="761" max="761" width="9.625" style="1" bestFit="1" customWidth="1"/>
    <col min="762" max="762" width="22.875" style="1" customWidth="1"/>
    <col min="763" max="763" width="28.375" style="1" customWidth="1"/>
    <col min="764" max="764" width="14" style="1" bestFit="1" customWidth="1"/>
    <col min="765" max="767" width="12.625" style="1" customWidth="1"/>
    <col min="768" max="768" width="15.375" style="1" customWidth="1"/>
    <col min="769" max="769" width="8" style="1" customWidth="1"/>
    <col min="770" max="770" width="9.875" style="1" customWidth="1"/>
    <col min="771" max="771" width="14.125" style="1" customWidth="1"/>
    <col min="772" max="772" width="7.5" style="1" customWidth="1"/>
    <col min="773" max="773" width="18.625" style="1" customWidth="1"/>
    <col min="774" max="774" width="10.625" style="1" customWidth="1"/>
    <col min="775" max="775" width="25" style="1" customWidth="1"/>
    <col min="776" max="776" width="13.375" style="1" bestFit="1" customWidth="1"/>
    <col min="777" max="777" width="14.5" style="1" customWidth="1"/>
    <col min="778" max="778" width="10.5" style="1" bestFit="1" customWidth="1"/>
    <col min="779" max="779" width="18.625" style="1" customWidth="1"/>
    <col min="780" max="780" width="14.125" style="1" customWidth="1"/>
    <col min="781" max="781" width="3.375" style="1" customWidth="1"/>
    <col min="782" max="782" width="12.375" style="1" bestFit="1" customWidth="1"/>
    <col min="783" max="783" width="14.875" style="1" customWidth="1"/>
    <col min="784" max="784" width="3.875" style="1" customWidth="1"/>
    <col min="785" max="785" width="10.375" style="1" customWidth="1"/>
    <col min="786" max="787" width="12.625" style="1" bestFit="1" customWidth="1"/>
    <col min="788" max="788" width="0.125" style="1" customWidth="1"/>
    <col min="789" max="789" width="9" style="1" bestFit="1" customWidth="1"/>
    <col min="790" max="790" width="9.125" style="1" customWidth="1"/>
    <col min="791" max="791" width="12.625" style="1" bestFit="1" customWidth="1"/>
    <col min="792" max="792" width="4.625" style="1" bestFit="1" customWidth="1"/>
    <col min="793" max="793" width="8.375" style="1"/>
    <col min="794" max="794" width="11.125" style="1" customWidth="1"/>
    <col min="795" max="795" width="11.625" style="1" bestFit="1" customWidth="1"/>
    <col min="796" max="796" width="11.125" style="1" bestFit="1" customWidth="1"/>
    <col min="797" max="797" width="10.625" style="1" bestFit="1" customWidth="1"/>
    <col min="798" max="798" width="8" style="1" bestFit="1" customWidth="1"/>
    <col min="799" max="799" width="14.875" style="1" bestFit="1" customWidth="1"/>
    <col min="800" max="1016" width="8.375" style="1"/>
    <col min="1017" max="1017" width="9.625" style="1" bestFit="1" customWidth="1"/>
    <col min="1018" max="1018" width="22.875" style="1" customWidth="1"/>
    <col min="1019" max="1019" width="28.375" style="1" customWidth="1"/>
    <col min="1020" max="1020" width="14" style="1" bestFit="1" customWidth="1"/>
    <col min="1021" max="1023" width="12.625" style="1" customWidth="1"/>
    <col min="1024" max="1024" width="15.375" style="1" customWidth="1"/>
    <col min="1025" max="1025" width="8" style="1" customWidth="1"/>
    <col min="1026" max="1026" width="9.875" style="1" customWidth="1"/>
    <col min="1027" max="1027" width="14.125" style="1" customWidth="1"/>
    <col min="1028" max="1028" width="7.5" style="1" customWidth="1"/>
    <col min="1029" max="1029" width="18.625" style="1" customWidth="1"/>
    <col min="1030" max="1030" width="10.625" style="1" customWidth="1"/>
    <col min="1031" max="1031" width="25" style="1" customWidth="1"/>
    <col min="1032" max="1032" width="13.375" style="1" bestFit="1" customWidth="1"/>
    <col min="1033" max="1033" width="14.5" style="1" customWidth="1"/>
    <col min="1034" max="1034" width="10.5" style="1" bestFit="1" customWidth="1"/>
    <col min="1035" max="1035" width="18.625" style="1" customWidth="1"/>
    <col min="1036" max="1036" width="14.125" style="1" customWidth="1"/>
    <col min="1037" max="1037" width="3.375" style="1" customWidth="1"/>
    <col min="1038" max="1038" width="12.375" style="1" bestFit="1" customWidth="1"/>
    <col min="1039" max="1039" width="14.875" style="1" customWidth="1"/>
    <col min="1040" max="1040" width="3.875" style="1" customWidth="1"/>
    <col min="1041" max="1041" width="10.375" style="1" customWidth="1"/>
    <col min="1042" max="1043" width="12.625" style="1" bestFit="1" customWidth="1"/>
    <col min="1044" max="1044" width="0.125" style="1" customWidth="1"/>
    <col min="1045" max="1045" width="9" style="1" bestFit="1" customWidth="1"/>
    <col min="1046" max="1046" width="9.125" style="1" customWidth="1"/>
    <col min="1047" max="1047" width="12.625" style="1" bestFit="1" customWidth="1"/>
    <col min="1048" max="1048" width="4.625" style="1" bestFit="1" customWidth="1"/>
    <col min="1049" max="1049" width="8.375" style="1"/>
    <col min="1050" max="1050" width="11.125" style="1" customWidth="1"/>
    <col min="1051" max="1051" width="11.625" style="1" bestFit="1" customWidth="1"/>
    <col min="1052" max="1052" width="11.125" style="1" bestFit="1" customWidth="1"/>
    <col min="1053" max="1053" width="10.625" style="1" bestFit="1" customWidth="1"/>
    <col min="1054" max="1054" width="8" style="1" bestFit="1" customWidth="1"/>
    <col min="1055" max="1055" width="14.875" style="1" bestFit="1" customWidth="1"/>
    <col min="1056" max="1272" width="8.375" style="1"/>
    <col min="1273" max="1273" width="9.625" style="1" bestFit="1" customWidth="1"/>
    <col min="1274" max="1274" width="22.875" style="1" customWidth="1"/>
    <col min="1275" max="1275" width="28.375" style="1" customWidth="1"/>
    <col min="1276" max="1276" width="14" style="1" bestFit="1" customWidth="1"/>
    <col min="1277" max="1279" width="12.625" style="1" customWidth="1"/>
    <col min="1280" max="1280" width="15.375" style="1" customWidth="1"/>
    <col min="1281" max="1281" width="8" style="1" customWidth="1"/>
    <col min="1282" max="1282" width="9.875" style="1" customWidth="1"/>
    <col min="1283" max="1283" width="14.125" style="1" customWidth="1"/>
    <col min="1284" max="1284" width="7.5" style="1" customWidth="1"/>
    <col min="1285" max="1285" width="18.625" style="1" customWidth="1"/>
    <col min="1286" max="1286" width="10.625" style="1" customWidth="1"/>
    <col min="1287" max="1287" width="25" style="1" customWidth="1"/>
    <col min="1288" max="1288" width="13.375" style="1" bestFit="1" customWidth="1"/>
    <col min="1289" max="1289" width="14.5" style="1" customWidth="1"/>
    <col min="1290" max="1290" width="10.5" style="1" bestFit="1" customWidth="1"/>
    <col min="1291" max="1291" width="18.625" style="1" customWidth="1"/>
    <col min="1292" max="1292" width="14.125" style="1" customWidth="1"/>
    <col min="1293" max="1293" width="3.375" style="1" customWidth="1"/>
    <col min="1294" max="1294" width="12.375" style="1" bestFit="1" customWidth="1"/>
    <col min="1295" max="1295" width="14.875" style="1" customWidth="1"/>
    <col min="1296" max="1296" width="3.875" style="1" customWidth="1"/>
    <col min="1297" max="1297" width="10.375" style="1" customWidth="1"/>
    <col min="1298" max="1299" width="12.625" style="1" bestFit="1" customWidth="1"/>
    <col min="1300" max="1300" width="0.125" style="1" customWidth="1"/>
    <col min="1301" max="1301" width="9" style="1" bestFit="1" customWidth="1"/>
    <col min="1302" max="1302" width="9.125" style="1" customWidth="1"/>
    <col min="1303" max="1303" width="12.625" style="1" bestFit="1" customWidth="1"/>
    <col min="1304" max="1304" width="4.625" style="1" bestFit="1" customWidth="1"/>
    <col min="1305" max="1305" width="8.375" style="1"/>
    <col min="1306" max="1306" width="11.125" style="1" customWidth="1"/>
    <col min="1307" max="1307" width="11.625" style="1" bestFit="1" customWidth="1"/>
    <col min="1308" max="1308" width="11.125" style="1" bestFit="1" customWidth="1"/>
    <col min="1309" max="1309" width="10.625" style="1" bestFit="1" customWidth="1"/>
    <col min="1310" max="1310" width="8" style="1" bestFit="1" customWidth="1"/>
    <col min="1311" max="1311" width="14.875" style="1" bestFit="1" customWidth="1"/>
    <col min="1312" max="1528" width="8.375" style="1"/>
    <col min="1529" max="1529" width="9.625" style="1" bestFit="1" customWidth="1"/>
    <col min="1530" max="1530" width="22.875" style="1" customWidth="1"/>
    <col min="1531" max="1531" width="28.375" style="1" customWidth="1"/>
    <col min="1532" max="1532" width="14" style="1" bestFit="1" customWidth="1"/>
    <col min="1533" max="1535" width="12.625" style="1" customWidth="1"/>
    <col min="1536" max="1536" width="15.375" style="1" customWidth="1"/>
    <col min="1537" max="1537" width="8" style="1" customWidth="1"/>
    <col min="1538" max="1538" width="9.875" style="1" customWidth="1"/>
    <col min="1539" max="1539" width="14.125" style="1" customWidth="1"/>
    <col min="1540" max="1540" width="7.5" style="1" customWidth="1"/>
    <col min="1541" max="1541" width="18.625" style="1" customWidth="1"/>
    <col min="1542" max="1542" width="10.625" style="1" customWidth="1"/>
    <col min="1543" max="1543" width="25" style="1" customWidth="1"/>
    <col min="1544" max="1544" width="13.375" style="1" bestFit="1" customWidth="1"/>
    <col min="1545" max="1545" width="14.5" style="1" customWidth="1"/>
    <col min="1546" max="1546" width="10.5" style="1" bestFit="1" customWidth="1"/>
    <col min="1547" max="1547" width="18.625" style="1" customWidth="1"/>
    <col min="1548" max="1548" width="14.125" style="1" customWidth="1"/>
    <col min="1549" max="1549" width="3.375" style="1" customWidth="1"/>
    <col min="1550" max="1550" width="12.375" style="1" bestFit="1" customWidth="1"/>
    <col min="1551" max="1551" width="14.875" style="1" customWidth="1"/>
    <col min="1552" max="1552" width="3.875" style="1" customWidth="1"/>
    <col min="1553" max="1553" width="10.375" style="1" customWidth="1"/>
    <col min="1554" max="1555" width="12.625" style="1" bestFit="1" customWidth="1"/>
    <col min="1556" max="1556" width="0.125" style="1" customWidth="1"/>
    <col min="1557" max="1557" width="9" style="1" bestFit="1" customWidth="1"/>
    <col min="1558" max="1558" width="9.125" style="1" customWidth="1"/>
    <col min="1559" max="1559" width="12.625" style="1" bestFit="1" customWidth="1"/>
    <col min="1560" max="1560" width="4.625" style="1" bestFit="1" customWidth="1"/>
    <col min="1561" max="1561" width="8.375" style="1"/>
    <col min="1562" max="1562" width="11.125" style="1" customWidth="1"/>
    <col min="1563" max="1563" width="11.625" style="1" bestFit="1" customWidth="1"/>
    <col min="1564" max="1564" width="11.125" style="1" bestFit="1" customWidth="1"/>
    <col min="1565" max="1565" width="10.625" style="1" bestFit="1" customWidth="1"/>
    <col min="1566" max="1566" width="8" style="1" bestFit="1" customWidth="1"/>
    <col min="1567" max="1567" width="14.875" style="1" bestFit="1" customWidth="1"/>
    <col min="1568" max="1784" width="8.375" style="1"/>
    <col min="1785" max="1785" width="9.625" style="1" bestFit="1" customWidth="1"/>
    <col min="1786" max="1786" width="22.875" style="1" customWidth="1"/>
    <col min="1787" max="1787" width="28.375" style="1" customWidth="1"/>
    <col min="1788" max="1788" width="14" style="1" bestFit="1" customWidth="1"/>
    <col min="1789" max="1791" width="12.625" style="1" customWidth="1"/>
    <col min="1792" max="1792" width="15.375" style="1" customWidth="1"/>
    <col min="1793" max="1793" width="8" style="1" customWidth="1"/>
    <col min="1794" max="1794" width="9.875" style="1" customWidth="1"/>
    <col min="1795" max="1795" width="14.125" style="1" customWidth="1"/>
    <col min="1796" max="1796" width="7.5" style="1" customWidth="1"/>
    <col min="1797" max="1797" width="18.625" style="1" customWidth="1"/>
    <col min="1798" max="1798" width="10.625" style="1" customWidth="1"/>
    <col min="1799" max="1799" width="25" style="1" customWidth="1"/>
    <col min="1800" max="1800" width="13.375" style="1" bestFit="1" customWidth="1"/>
    <col min="1801" max="1801" width="14.5" style="1" customWidth="1"/>
    <col min="1802" max="1802" width="10.5" style="1" bestFit="1" customWidth="1"/>
    <col min="1803" max="1803" width="18.625" style="1" customWidth="1"/>
    <col min="1804" max="1804" width="14.125" style="1" customWidth="1"/>
    <col min="1805" max="1805" width="3.375" style="1" customWidth="1"/>
    <col min="1806" max="1806" width="12.375" style="1" bestFit="1" customWidth="1"/>
    <col min="1807" max="1807" width="14.875" style="1" customWidth="1"/>
    <col min="1808" max="1808" width="3.875" style="1" customWidth="1"/>
    <col min="1809" max="1809" width="10.375" style="1" customWidth="1"/>
    <col min="1810" max="1811" width="12.625" style="1" bestFit="1" customWidth="1"/>
    <col min="1812" max="1812" width="0.125" style="1" customWidth="1"/>
    <col min="1813" max="1813" width="9" style="1" bestFit="1" customWidth="1"/>
    <col min="1814" max="1814" width="9.125" style="1" customWidth="1"/>
    <col min="1815" max="1815" width="12.625" style="1" bestFit="1" customWidth="1"/>
    <col min="1816" max="1816" width="4.625" style="1" bestFit="1" customWidth="1"/>
    <col min="1817" max="1817" width="8.375" style="1"/>
    <col min="1818" max="1818" width="11.125" style="1" customWidth="1"/>
    <col min="1819" max="1819" width="11.625" style="1" bestFit="1" customWidth="1"/>
    <col min="1820" max="1820" width="11.125" style="1" bestFit="1" customWidth="1"/>
    <col min="1821" max="1821" width="10.625" style="1" bestFit="1" customWidth="1"/>
    <col min="1822" max="1822" width="8" style="1" bestFit="1" customWidth="1"/>
    <col min="1823" max="1823" width="14.875" style="1" bestFit="1" customWidth="1"/>
    <col min="1824" max="2040" width="8.375" style="1"/>
    <col min="2041" max="2041" width="9.625" style="1" bestFit="1" customWidth="1"/>
    <col min="2042" max="2042" width="22.875" style="1" customWidth="1"/>
    <col min="2043" max="2043" width="28.375" style="1" customWidth="1"/>
    <col min="2044" max="2044" width="14" style="1" bestFit="1" customWidth="1"/>
    <col min="2045" max="2047" width="12.625" style="1" customWidth="1"/>
    <col min="2048" max="2048" width="15.375" style="1" customWidth="1"/>
    <col min="2049" max="2049" width="8" style="1" customWidth="1"/>
    <col min="2050" max="2050" width="9.875" style="1" customWidth="1"/>
    <col min="2051" max="2051" width="14.125" style="1" customWidth="1"/>
    <col min="2052" max="2052" width="7.5" style="1" customWidth="1"/>
    <col min="2053" max="2053" width="18.625" style="1" customWidth="1"/>
    <col min="2054" max="2054" width="10.625" style="1" customWidth="1"/>
    <col min="2055" max="2055" width="25" style="1" customWidth="1"/>
    <col min="2056" max="2056" width="13.375" style="1" bestFit="1" customWidth="1"/>
    <col min="2057" max="2057" width="14.5" style="1" customWidth="1"/>
    <col min="2058" max="2058" width="10.5" style="1" bestFit="1" customWidth="1"/>
    <col min="2059" max="2059" width="18.625" style="1" customWidth="1"/>
    <col min="2060" max="2060" width="14.125" style="1" customWidth="1"/>
    <col min="2061" max="2061" width="3.375" style="1" customWidth="1"/>
    <col min="2062" max="2062" width="12.375" style="1" bestFit="1" customWidth="1"/>
    <col min="2063" max="2063" width="14.875" style="1" customWidth="1"/>
    <col min="2064" max="2064" width="3.875" style="1" customWidth="1"/>
    <col min="2065" max="2065" width="10.375" style="1" customWidth="1"/>
    <col min="2066" max="2067" width="12.625" style="1" bestFit="1" customWidth="1"/>
    <col min="2068" max="2068" width="0.125" style="1" customWidth="1"/>
    <col min="2069" max="2069" width="9" style="1" bestFit="1" customWidth="1"/>
    <col min="2070" max="2070" width="9.125" style="1" customWidth="1"/>
    <col min="2071" max="2071" width="12.625" style="1" bestFit="1" customWidth="1"/>
    <col min="2072" max="2072" width="4.625" style="1" bestFit="1" customWidth="1"/>
    <col min="2073" max="2073" width="8.375" style="1"/>
    <col min="2074" max="2074" width="11.125" style="1" customWidth="1"/>
    <col min="2075" max="2075" width="11.625" style="1" bestFit="1" customWidth="1"/>
    <col min="2076" max="2076" width="11.125" style="1" bestFit="1" customWidth="1"/>
    <col min="2077" max="2077" width="10.625" style="1" bestFit="1" customWidth="1"/>
    <col min="2078" max="2078" width="8" style="1" bestFit="1" customWidth="1"/>
    <col min="2079" max="2079" width="14.875" style="1" bestFit="1" customWidth="1"/>
    <col min="2080" max="2296" width="8.375" style="1"/>
    <col min="2297" max="2297" width="9.625" style="1" bestFit="1" customWidth="1"/>
    <col min="2298" max="2298" width="22.875" style="1" customWidth="1"/>
    <col min="2299" max="2299" width="28.375" style="1" customWidth="1"/>
    <col min="2300" max="2300" width="14" style="1" bestFit="1" customWidth="1"/>
    <col min="2301" max="2303" width="12.625" style="1" customWidth="1"/>
    <col min="2304" max="2304" width="15.375" style="1" customWidth="1"/>
    <col min="2305" max="2305" width="8" style="1" customWidth="1"/>
    <col min="2306" max="2306" width="9.875" style="1" customWidth="1"/>
    <col min="2307" max="2307" width="14.125" style="1" customWidth="1"/>
    <col min="2308" max="2308" width="7.5" style="1" customWidth="1"/>
    <col min="2309" max="2309" width="18.625" style="1" customWidth="1"/>
    <col min="2310" max="2310" width="10.625" style="1" customWidth="1"/>
    <col min="2311" max="2311" width="25" style="1" customWidth="1"/>
    <col min="2312" max="2312" width="13.375" style="1" bestFit="1" customWidth="1"/>
    <col min="2313" max="2313" width="14.5" style="1" customWidth="1"/>
    <col min="2314" max="2314" width="10.5" style="1" bestFit="1" customWidth="1"/>
    <col min="2315" max="2315" width="18.625" style="1" customWidth="1"/>
    <col min="2316" max="2316" width="14.125" style="1" customWidth="1"/>
    <col min="2317" max="2317" width="3.375" style="1" customWidth="1"/>
    <col min="2318" max="2318" width="12.375" style="1" bestFit="1" customWidth="1"/>
    <col min="2319" max="2319" width="14.875" style="1" customWidth="1"/>
    <col min="2320" max="2320" width="3.875" style="1" customWidth="1"/>
    <col min="2321" max="2321" width="10.375" style="1" customWidth="1"/>
    <col min="2322" max="2323" width="12.625" style="1" bestFit="1" customWidth="1"/>
    <col min="2324" max="2324" width="0.125" style="1" customWidth="1"/>
    <col min="2325" max="2325" width="9" style="1" bestFit="1" customWidth="1"/>
    <col min="2326" max="2326" width="9.125" style="1" customWidth="1"/>
    <col min="2327" max="2327" width="12.625" style="1" bestFit="1" customWidth="1"/>
    <col min="2328" max="2328" width="4.625" style="1" bestFit="1" customWidth="1"/>
    <col min="2329" max="2329" width="8.375" style="1"/>
    <col min="2330" max="2330" width="11.125" style="1" customWidth="1"/>
    <col min="2331" max="2331" width="11.625" style="1" bestFit="1" customWidth="1"/>
    <col min="2332" max="2332" width="11.125" style="1" bestFit="1" customWidth="1"/>
    <col min="2333" max="2333" width="10.625" style="1" bestFit="1" customWidth="1"/>
    <col min="2334" max="2334" width="8" style="1" bestFit="1" customWidth="1"/>
    <col min="2335" max="2335" width="14.875" style="1" bestFit="1" customWidth="1"/>
    <col min="2336" max="2552" width="8.375" style="1"/>
    <col min="2553" max="2553" width="9.625" style="1" bestFit="1" customWidth="1"/>
    <col min="2554" max="2554" width="22.875" style="1" customWidth="1"/>
    <col min="2555" max="2555" width="28.375" style="1" customWidth="1"/>
    <col min="2556" max="2556" width="14" style="1" bestFit="1" customWidth="1"/>
    <col min="2557" max="2559" width="12.625" style="1" customWidth="1"/>
    <col min="2560" max="2560" width="15.375" style="1" customWidth="1"/>
    <col min="2561" max="2561" width="8" style="1" customWidth="1"/>
    <col min="2562" max="2562" width="9.875" style="1" customWidth="1"/>
    <col min="2563" max="2563" width="14.125" style="1" customWidth="1"/>
    <col min="2564" max="2564" width="7.5" style="1" customWidth="1"/>
    <col min="2565" max="2565" width="18.625" style="1" customWidth="1"/>
    <col min="2566" max="2566" width="10.625" style="1" customWidth="1"/>
    <col min="2567" max="2567" width="25" style="1" customWidth="1"/>
    <col min="2568" max="2568" width="13.375" style="1" bestFit="1" customWidth="1"/>
    <col min="2569" max="2569" width="14.5" style="1" customWidth="1"/>
    <col min="2570" max="2570" width="10.5" style="1" bestFit="1" customWidth="1"/>
    <col min="2571" max="2571" width="18.625" style="1" customWidth="1"/>
    <col min="2572" max="2572" width="14.125" style="1" customWidth="1"/>
    <col min="2573" max="2573" width="3.375" style="1" customWidth="1"/>
    <col min="2574" max="2574" width="12.375" style="1" bestFit="1" customWidth="1"/>
    <col min="2575" max="2575" width="14.875" style="1" customWidth="1"/>
    <col min="2576" max="2576" width="3.875" style="1" customWidth="1"/>
    <col min="2577" max="2577" width="10.375" style="1" customWidth="1"/>
    <col min="2578" max="2579" width="12.625" style="1" bestFit="1" customWidth="1"/>
    <col min="2580" max="2580" width="0.125" style="1" customWidth="1"/>
    <col min="2581" max="2581" width="9" style="1" bestFit="1" customWidth="1"/>
    <col min="2582" max="2582" width="9.125" style="1" customWidth="1"/>
    <col min="2583" max="2583" width="12.625" style="1" bestFit="1" customWidth="1"/>
    <col min="2584" max="2584" width="4.625" style="1" bestFit="1" customWidth="1"/>
    <col min="2585" max="2585" width="8.375" style="1"/>
    <col min="2586" max="2586" width="11.125" style="1" customWidth="1"/>
    <col min="2587" max="2587" width="11.625" style="1" bestFit="1" customWidth="1"/>
    <col min="2588" max="2588" width="11.125" style="1" bestFit="1" customWidth="1"/>
    <col min="2589" max="2589" width="10.625" style="1" bestFit="1" customWidth="1"/>
    <col min="2590" max="2590" width="8" style="1" bestFit="1" customWidth="1"/>
    <col min="2591" max="2591" width="14.875" style="1" bestFit="1" customWidth="1"/>
    <col min="2592" max="2808" width="8.375" style="1"/>
    <col min="2809" max="2809" width="9.625" style="1" bestFit="1" customWidth="1"/>
    <col min="2810" max="2810" width="22.875" style="1" customWidth="1"/>
    <col min="2811" max="2811" width="28.375" style="1" customWidth="1"/>
    <col min="2812" max="2812" width="14" style="1" bestFit="1" customWidth="1"/>
    <col min="2813" max="2815" width="12.625" style="1" customWidth="1"/>
    <col min="2816" max="2816" width="15.375" style="1" customWidth="1"/>
    <col min="2817" max="2817" width="8" style="1" customWidth="1"/>
    <col min="2818" max="2818" width="9.875" style="1" customWidth="1"/>
    <col min="2819" max="2819" width="14.125" style="1" customWidth="1"/>
    <col min="2820" max="2820" width="7.5" style="1" customWidth="1"/>
    <col min="2821" max="2821" width="18.625" style="1" customWidth="1"/>
    <col min="2822" max="2822" width="10.625" style="1" customWidth="1"/>
    <col min="2823" max="2823" width="25" style="1" customWidth="1"/>
    <col min="2824" max="2824" width="13.375" style="1" bestFit="1" customWidth="1"/>
    <col min="2825" max="2825" width="14.5" style="1" customWidth="1"/>
    <col min="2826" max="2826" width="10.5" style="1" bestFit="1" customWidth="1"/>
    <col min="2827" max="2827" width="18.625" style="1" customWidth="1"/>
    <col min="2828" max="2828" width="14.125" style="1" customWidth="1"/>
    <col min="2829" max="2829" width="3.375" style="1" customWidth="1"/>
    <col min="2830" max="2830" width="12.375" style="1" bestFit="1" customWidth="1"/>
    <col min="2831" max="2831" width="14.875" style="1" customWidth="1"/>
    <col min="2832" max="2832" width="3.875" style="1" customWidth="1"/>
    <col min="2833" max="2833" width="10.375" style="1" customWidth="1"/>
    <col min="2834" max="2835" width="12.625" style="1" bestFit="1" customWidth="1"/>
    <col min="2836" max="2836" width="0.125" style="1" customWidth="1"/>
    <col min="2837" max="2837" width="9" style="1" bestFit="1" customWidth="1"/>
    <col min="2838" max="2838" width="9.125" style="1" customWidth="1"/>
    <col min="2839" max="2839" width="12.625" style="1" bestFit="1" customWidth="1"/>
    <col min="2840" max="2840" width="4.625" style="1" bestFit="1" customWidth="1"/>
    <col min="2841" max="2841" width="8.375" style="1"/>
    <col min="2842" max="2842" width="11.125" style="1" customWidth="1"/>
    <col min="2843" max="2843" width="11.625" style="1" bestFit="1" customWidth="1"/>
    <col min="2844" max="2844" width="11.125" style="1" bestFit="1" customWidth="1"/>
    <col min="2845" max="2845" width="10.625" style="1" bestFit="1" customWidth="1"/>
    <col min="2846" max="2846" width="8" style="1" bestFit="1" customWidth="1"/>
    <col min="2847" max="2847" width="14.875" style="1" bestFit="1" customWidth="1"/>
    <col min="2848" max="3064" width="8.375" style="1"/>
    <col min="3065" max="3065" width="9.625" style="1" bestFit="1" customWidth="1"/>
    <col min="3066" max="3066" width="22.875" style="1" customWidth="1"/>
    <col min="3067" max="3067" width="28.375" style="1" customWidth="1"/>
    <col min="3068" max="3068" width="14" style="1" bestFit="1" customWidth="1"/>
    <col min="3069" max="3071" width="12.625" style="1" customWidth="1"/>
    <col min="3072" max="3072" width="15.375" style="1" customWidth="1"/>
    <col min="3073" max="3073" width="8" style="1" customWidth="1"/>
    <col min="3074" max="3074" width="9.875" style="1" customWidth="1"/>
    <col min="3075" max="3075" width="14.125" style="1" customWidth="1"/>
    <col min="3076" max="3076" width="7.5" style="1" customWidth="1"/>
    <col min="3077" max="3077" width="18.625" style="1" customWidth="1"/>
    <col min="3078" max="3078" width="10.625" style="1" customWidth="1"/>
    <col min="3079" max="3079" width="25" style="1" customWidth="1"/>
    <col min="3080" max="3080" width="13.375" style="1" bestFit="1" customWidth="1"/>
    <col min="3081" max="3081" width="14.5" style="1" customWidth="1"/>
    <col min="3082" max="3082" width="10.5" style="1" bestFit="1" customWidth="1"/>
    <col min="3083" max="3083" width="18.625" style="1" customWidth="1"/>
    <col min="3084" max="3084" width="14.125" style="1" customWidth="1"/>
    <col min="3085" max="3085" width="3.375" style="1" customWidth="1"/>
    <col min="3086" max="3086" width="12.375" style="1" bestFit="1" customWidth="1"/>
    <col min="3087" max="3087" width="14.875" style="1" customWidth="1"/>
    <col min="3088" max="3088" width="3.875" style="1" customWidth="1"/>
    <col min="3089" max="3089" width="10.375" style="1" customWidth="1"/>
    <col min="3090" max="3091" width="12.625" style="1" bestFit="1" customWidth="1"/>
    <col min="3092" max="3092" width="0.125" style="1" customWidth="1"/>
    <col min="3093" max="3093" width="9" style="1" bestFit="1" customWidth="1"/>
    <col min="3094" max="3094" width="9.125" style="1" customWidth="1"/>
    <col min="3095" max="3095" width="12.625" style="1" bestFit="1" customWidth="1"/>
    <col min="3096" max="3096" width="4.625" style="1" bestFit="1" customWidth="1"/>
    <col min="3097" max="3097" width="8.375" style="1"/>
    <col min="3098" max="3098" width="11.125" style="1" customWidth="1"/>
    <col min="3099" max="3099" width="11.625" style="1" bestFit="1" customWidth="1"/>
    <col min="3100" max="3100" width="11.125" style="1" bestFit="1" customWidth="1"/>
    <col min="3101" max="3101" width="10.625" style="1" bestFit="1" customWidth="1"/>
    <col min="3102" max="3102" width="8" style="1" bestFit="1" customWidth="1"/>
    <col min="3103" max="3103" width="14.875" style="1" bestFit="1" customWidth="1"/>
    <col min="3104" max="3320" width="8.375" style="1"/>
    <col min="3321" max="3321" width="9.625" style="1" bestFit="1" customWidth="1"/>
    <col min="3322" max="3322" width="22.875" style="1" customWidth="1"/>
    <col min="3323" max="3323" width="28.375" style="1" customWidth="1"/>
    <col min="3324" max="3324" width="14" style="1" bestFit="1" customWidth="1"/>
    <col min="3325" max="3327" width="12.625" style="1" customWidth="1"/>
    <col min="3328" max="3328" width="15.375" style="1" customWidth="1"/>
    <col min="3329" max="3329" width="8" style="1" customWidth="1"/>
    <col min="3330" max="3330" width="9.875" style="1" customWidth="1"/>
    <col min="3331" max="3331" width="14.125" style="1" customWidth="1"/>
    <col min="3332" max="3332" width="7.5" style="1" customWidth="1"/>
    <col min="3333" max="3333" width="18.625" style="1" customWidth="1"/>
    <col min="3334" max="3334" width="10.625" style="1" customWidth="1"/>
    <col min="3335" max="3335" width="25" style="1" customWidth="1"/>
    <col min="3336" max="3336" width="13.375" style="1" bestFit="1" customWidth="1"/>
    <col min="3337" max="3337" width="14.5" style="1" customWidth="1"/>
    <col min="3338" max="3338" width="10.5" style="1" bestFit="1" customWidth="1"/>
    <col min="3339" max="3339" width="18.625" style="1" customWidth="1"/>
    <col min="3340" max="3340" width="14.125" style="1" customWidth="1"/>
    <col min="3341" max="3341" width="3.375" style="1" customWidth="1"/>
    <col min="3342" max="3342" width="12.375" style="1" bestFit="1" customWidth="1"/>
    <col min="3343" max="3343" width="14.875" style="1" customWidth="1"/>
    <col min="3344" max="3344" width="3.875" style="1" customWidth="1"/>
    <col min="3345" max="3345" width="10.375" style="1" customWidth="1"/>
    <col min="3346" max="3347" width="12.625" style="1" bestFit="1" customWidth="1"/>
    <col min="3348" max="3348" width="0.125" style="1" customWidth="1"/>
    <col min="3349" max="3349" width="9" style="1" bestFit="1" customWidth="1"/>
    <col min="3350" max="3350" width="9.125" style="1" customWidth="1"/>
    <col min="3351" max="3351" width="12.625" style="1" bestFit="1" customWidth="1"/>
    <col min="3352" max="3352" width="4.625" style="1" bestFit="1" customWidth="1"/>
    <col min="3353" max="3353" width="8.375" style="1"/>
    <col min="3354" max="3354" width="11.125" style="1" customWidth="1"/>
    <col min="3355" max="3355" width="11.625" style="1" bestFit="1" customWidth="1"/>
    <col min="3356" max="3356" width="11.125" style="1" bestFit="1" customWidth="1"/>
    <col min="3357" max="3357" width="10.625" style="1" bestFit="1" customWidth="1"/>
    <col min="3358" max="3358" width="8" style="1" bestFit="1" customWidth="1"/>
    <col min="3359" max="3359" width="14.875" style="1" bestFit="1" customWidth="1"/>
    <col min="3360" max="3576" width="8.375" style="1"/>
    <col min="3577" max="3577" width="9.625" style="1" bestFit="1" customWidth="1"/>
    <col min="3578" max="3578" width="22.875" style="1" customWidth="1"/>
    <col min="3579" max="3579" width="28.375" style="1" customWidth="1"/>
    <col min="3580" max="3580" width="14" style="1" bestFit="1" customWidth="1"/>
    <col min="3581" max="3583" width="12.625" style="1" customWidth="1"/>
    <col min="3584" max="3584" width="15.375" style="1" customWidth="1"/>
    <col min="3585" max="3585" width="8" style="1" customWidth="1"/>
    <col min="3586" max="3586" width="9.875" style="1" customWidth="1"/>
    <col min="3587" max="3587" width="14.125" style="1" customWidth="1"/>
    <col min="3588" max="3588" width="7.5" style="1" customWidth="1"/>
    <col min="3589" max="3589" width="18.625" style="1" customWidth="1"/>
    <col min="3590" max="3590" width="10.625" style="1" customWidth="1"/>
    <col min="3591" max="3591" width="25" style="1" customWidth="1"/>
    <col min="3592" max="3592" width="13.375" style="1" bestFit="1" customWidth="1"/>
    <col min="3593" max="3593" width="14.5" style="1" customWidth="1"/>
    <col min="3594" max="3594" width="10.5" style="1" bestFit="1" customWidth="1"/>
    <col min="3595" max="3595" width="18.625" style="1" customWidth="1"/>
    <col min="3596" max="3596" width="14.125" style="1" customWidth="1"/>
    <col min="3597" max="3597" width="3.375" style="1" customWidth="1"/>
    <col min="3598" max="3598" width="12.375" style="1" bestFit="1" customWidth="1"/>
    <col min="3599" max="3599" width="14.875" style="1" customWidth="1"/>
    <col min="3600" max="3600" width="3.875" style="1" customWidth="1"/>
    <col min="3601" max="3601" width="10.375" style="1" customWidth="1"/>
    <col min="3602" max="3603" width="12.625" style="1" bestFit="1" customWidth="1"/>
    <col min="3604" max="3604" width="0.125" style="1" customWidth="1"/>
    <col min="3605" max="3605" width="9" style="1" bestFit="1" customWidth="1"/>
    <col min="3606" max="3606" width="9.125" style="1" customWidth="1"/>
    <col min="3607" max="3607" width="12.625" style="1" bestFit="1" customWidth="1"/>
    <col min="3608" max="3608" width="4.625" style="1" bestFit="1" customWidth="1"/>
    <col min="3609" max="3609" width="8.375" style="1"/>
    <col min="3610" max="3610" width="11.125" style="1" customWidth="1"/>
    <col min="3611" max="3611" width="11.625" style="1" bestFit="1" customWidth="1"/>
    <col min="3612" max="3612" width="11.125" style="1" bestFit="1" customWidth="1"/>
    <col min="3613" max="3613" width="10.625" style="1" bestFit="1" customWidth="1"/>
    <col min="3614" max="3614" width="8" style="1" bestFit="1" customWidth="1"/>
    <col min="3615" max="3615" width="14.875" style="1" bestFit="1" customWidth="1"/>
    <col min="3616" max="3832" width="8.375" style="1"/>
    <col min="3833" max="3833" width="9.625" style="1" bestFit="1" customWidth="1"/>
    <col min="3834" max="3834" width="22.875" style="1" customWidth="1"/>
    <col min="3835" max="3835" width="28.375" style="1" customWidth="1"/>
    <col min="3836" max="3836" width="14" style="1" bestFit="1" customWidth="1"/>
    <col min="3837" max="3839" width="12.625" style="1" customWidth="1"/>
    <col min="3840" max="3840" width="15.375" style="1" customWidth="1"/>
    <col min="3841" max="3841" width="8" style="1" customWidth="1"/>
    <col min="3842" max="3842" width="9.875" style="1" customWidth="1"/>
    <col min="3843" max="3843" width="14.125" style="1" customWidth="1"/>
    <col min="3844" max="3844" width="7.5" style="1" customWidth="1"/>
    <col min="3845" max="3845" width="18.625" style="1" customWidth="1"/>
    <col min="3846" max="3846" width="10.625" style="1" customWidth="1"/>
    <col min="3847" max="3847" width="25" style="1" customWidth="1"/>
    <col min="3848" max="3848" width="13.375" style="1" bestFit="1" customWidth="1"/>
    <col min="3849" max="3849" width="14.5" style="1" customWidth="1"/>
    <col min="3850" max="3850" width="10.5" style="1" bestFit="1" customWidth="1"/>
    <col min="3851" max="3851" width="18.625" style="1" customWidth="1"/>
    <col min="3852" max="3852" width="14.125" style="1" customWidth="1"/>
    <col min="3853" max="3853" width="3.375" style="1" customWidth="1"/>
    <col min="3854" max="3854" width="12.375" style="1" bestFit="1" customWidth="1"/>
    <col min="3855" max="3855" width="14.875" style="1" customWidth="1"/>
    <col min="3856" max="3856" width="3.875" style="1" customWidth="1"/>
    <col min="3857" max="3857" width="10.375" style="1" customWidth="1"/>
    <col min="3858" max="3859" width="12.625" style="1" bestFit="1" customWidth="1"/>
    <col min="3860" max="3860" width="0.125" style="1" customWidth="1"/>
    <col min="3861" max="3861" width="9" style="1" bestFit="1" customWidth="1"/>
    <col min="3862" max="3862" width="9.125" style="1" customWidth="1"/>
    <col min="3863" max="3863" width="12.625" style="1" bestFit="1" customWidth="1"/>
    <col min="3864" max="3864" width="4.625" style="1" bestFit="1" customWidth="1"/>
    <col min="3865" max="3865" width="8.375" style="1"/>
    <col min="3866" max="3866" width="11.125" style="1" customWidth="1"/>
    <col min="3867" max="3867" width="11.625" style="1" bestFit="1" customWidth="1"/>
    <col min="3868" max="3868" width="11.125" style="1" bestFit="1" customWidth="1"/>
    <col min="3869" max="3869" width="10.625" style="1" bestFit="1" customWidth="1"/>
    <col min="3870" max="3870" width="8" style="1" bestFit="1" customWidth="1"/>
    <col min="3871" max="3871" width="14.875" style="1" bestFit="1" customWidth="1"/>
    <col min="3872" max="4088" width="8.375" style="1"/>
    <col min="4089" max="4089" width="9.625" style="1" bestFit="1" customWidth="1"/>
    <col min="4090" max="4090" width="22.875" style="1" customWidth="1"/>
    <col min="4091" max="4091" width="28.375" style="1" customWidth="1"/>
    <col min="4092" max="4092" width="14" style="1" bestFit="1" customWidth="1"/>
    <col min="4093" max="4095" width="12.625" style="1" customWidth="1"/>
    <col min="4096" max="4096" width="15.375" style="1" customWidth="1"/>
    <col min="4097" max="4097" width="8" style="1" customWidth="1"/>
    <col min="4098" max="4098" width="9.875" style="1" customWidth="1"/>
    <col min="4099" max="4099" width="14.125" style="1" customWidth="1"/>
    <col min="4100" max="4100" width="7.5" style="1" customWidth="1"/>
    <col min="4101" max="4101" width="18.625" style="1" customWidth="1"/>
    <col min="4102" max="4102" width="10.625" style="1" customWidth="1"/>
    <col min="4103" max="4103" width="25" style="1" customWidth="1"/>
    <col min="4104" max="4104" width="13.375" style="1" bestFit="1" customWidth="1"/>
    <col min="4105" max="4105" width="14.5" style="1" customWidth="1"/>
    <col min="4106" max="4106" width="10.5" style="1" bestFit="1" customWidth="1"/>
    <col min="4107" max="4107" width="18.625" style="1" customWidth="1"/>
    <col min="4108" max="4108" width="14.125" style="1" customWidth="1"/>
    <col min="4109" max="4109" width="3.375" style="1" customWidth="1"/>
    <col min="4110" max="4110" width="12.375" style="1" bestFit="1" customWidth="1"/>
    <col min="4111" max="4111" width="14.875" style="1" customWidth="1"/>
    <col min="4112" max="4112" width="3.875" style="1" customWidth="1"/>
    <col min="4113" max="4113" width="10.375" style="1" customWidth="1"/>
    <col min="4114" max="4115" width="12.625" style="1" bestFit="1" customWidth="1"/>
    <col min="4116" max="4116" width="0.125" style="1" customWidth="1"/>
    <col min="4117" max="4117" width="9" style="1" bestFit="1" customWidth="1"/>
    <col min="4118" max="4118" width="9.125" style="1" customWidth="1"/>
    <col min="4119" max="4119" width="12.625" style="1" bestFit="1" customWidth="1"/>
    <col min="4120" max="4120" width="4.625" style="1" bestFit="1" customWidth="1"/>
    <col min="4121" max="4121" width="8.375" style="1"/>
    <col min="4122" max="4122" width="11.125" style="1" customWidth="1"/>
    <col min="4123" max="4123" width="11.625" style="1" bestFit="1" customWidth="1"/>
    <col min="4124" max="4124" width="11.125" style="1" bestFit="1" customWidth="1"/>
    <col min="4125" max="4125" width="10.625" style="1" bestFit="1" customWidth="1"/>
    <col min="4126" max="4126" width="8" style="1" bestFit="1" customWidth="1"/>
    <col min="4127" max="4127" width="14.875" style="1" bestFit="1" customWidth="1"/>
    <col min="4128" max="4344" width="8.375" style="1"/>
    <col min="4345" max="4345" width="9.625" style="1" bestFit="1" customWidth="1"/>
    <col min="4346" max="4346" width="22.875" style="1" customWidth="1"/>
    <col min="4347" max="4347" width="28.375" style="1" customWidth="1"/>
    <col min="4348" max="4348" width="14" style="1" bestFit="1" customWidth="1"/>
    <col min="4349" max="4351" width="12.625" style="1" customWidth="1"/>
    <col min="4352" max="4352" width="15.375" style="1" customWidth="1"/>
    <col min="4353" max="4353" width="8" style="1" customWidth="1"/>
    <col min="4354" max="4354" width="9.875" style="1" customWidth="1"/>
    <col min="4355" max="4355" width="14.125" style="1" customWidth="1"/>
    <col min="4356" max="4356" width="7.5" style="1" customWidth="1"/>
    <col min="4357" max="4357" width="18.625" style="1" customWidth="1"/>
    <col min="4358" max="4358" width="10.625" style="1" customWidth="1"/>
    <col min="4359" max="4359" width="25" style="1" customWidth="1"/>
    <col min="4360" max="4360" width="13.375" style="1" bestFit="1" customWidth="1"/>
    <col min="4361" max="4361" width="14.5" style="1" customWidth="1"/>
    <col min="4362" max="4362" width="10.5" style="1" bestFit="1" customWidth="1"/>
    <col min="4363" max="4363" width="18.625" style="1" customWidth="1"/>
    <col min="4364" max="4364" width="14.125" style="1" customWidth="1"/>
    <col min="4365" max="4365" width="3.375" style="1" customWidth="1"/>
    <col min="4366" max="4366" width="12.375" style="1" bestFit="1" customWidth="1"/>
    <col min="4367" max="4367" width="14.875" style="1" customWidth="1"/>
    <col min="4368" max="4368" width="3.875" style="1" customWidth="1"/>
    <col min="4369" max="4369" width="10.375" style="1" customWidth="1"/>
    <col min="4370" max="4371" width="12.625" style="1" bestFit="1" customWidth="1"/>
    <col min="4372" max="4372" width="0.125" style="1" customWidth="1"/>
    <col min="4373" max="4373" width="9" style="1" bestFit="1" customWidth="1"/>
    <col min="4374" max="4374" width="9.125" style="1" customWidth="1"/>
    <col min="4375" max="4375" width="12.625" style="1" bestFit="1" customWidth="1"/>
    <col min="4376" max="4376" width="4.625" style="1" bestFit="1" customWidth="1"/>
    <col min="4377" max="4377" width="8.375" style="1"/>
    <col min="4378" max="4378" width="11.125" style="1" customWidth="1"/>
    <col min="4379" max="4379" width="11.625" style="1" bestFit="1" customWidth="1"/>
    <col min="4380" max="4380" width="11.125" style="1" bestFit="1" customWidth="1"/>
    <col min="4381" max="4381" width="10.625" style="1" bestFit="1" customWidth="1"/>
    <col min="4382" max="4382" width="8" style="1" bestFit="1" customWidth="1"/>
    <col min="4383" max="4383" width="14.875" style="1" bestFit="1" customWidth="1"/>
    <col min="4384" max="4600" width="8.375" style="1"/>
    <col min="4601" max="4601" width="9.625" style="1" bestFit="1" customWidth="1"/>
    <col min="4602" max="4602" width="22.875" style="1" customWidth="1"/>
    <col min="4603" max="4603" width="28.375" style="1" customWidth="1"/>
    <col min="4604" max="4604" width="14" style="1" bestFit="1" customWidth="1"/>
    <col min="4605" max="4607" width="12.625" style="1" customWidth="1"/>
    <col min="4608" max="4608" width="15.375" style="1" customWidth="1"/>
    <col min="4609" max="4609" width="8" style="1" customWidth="1"/>
    <col min="4610" max="4610" width="9.875" style="1" customWidth="1"/>
    <col min="4611" max="4611" width="14.125" style="1" customWidth="1"/>
    <col min="4612" max="4612" width="7.5" style="1" customWidth="1"/>
    <col min="4613" max="4613" width="18.625" style="1" customWidth="1"/>
    <col min="4614" max="4614" width="10.625" style="1" customWidth="1"/>
    <col min="4615" max="4615" width="25" style="1" customWidth="1"/>
    <col min="4616" max="4616" width="13.375" style="1" bestFit="1" customWidth="1"/>
    <col min="4617" max="4617" width="14.5" style="1" customWidth="1"/>
    <col min="4618" max="4618" width="10.5" style="1" bestFit="1" customWidth="1"/>
    <col min="4619" max="4619" width="18.625" style="1" customWidth="1"/>
    <col min="4620" max="4620" width="14.125" style="1" customWidth="1"/>
    <col min="4621" max="4621" width="3.375" style="1" customWidth="1"/>
    <col min="4622" max="4622" width="12.375" style="1" bestFit="1" customWidth="1"/>
    <col min="4623" max="4623" width="14.875" style="1" customWidth="1"/>
    <col min="4624" max="4624" width="3.875" style="1" customWidth="1"/>
    <col min="4625" max="4625" width="10.375" style="1" customWidth="1"/>
    <col min="4626" max="4627" width="12.625" style="1" bestFit="1" customWidth="1"/>
    <col min="4628" max="4628" width="0.125" style="1" customWidth="1"/>
    <col min="4629" max="4629" width="9" style="1" bestFit="1" customWidth="1"/>
    <col min="4630" max="4630" width="9.125" style="1" customWidth="1"/>
    <col min="4631" max="4631" width="12.625" style="1" bestFit="1" customWidth="1"/>
    <col min="4632" max="4632" width="4.625" style="1" bestFit="1" customWidth="1"/>
    <col min="4633" max="4633" width="8.375" style="1"/>
    <col min="4634" max="4634" width="11.125" style="1" customWidth="1"/>
    <col min="4635" max="4635" width="11.625" style="1" bestFit="1" customWidth="1"/>
    <col min="4636" max="4636" width="11.125" style="1" bestFit="1" customWidth="1"/>
    <col min="4637" max="4637" width="10.625" style="1" bestFit="1" customWidth="1"/>
    <col min="4638" max="4638" width="8" style="1" bestFit="1" customWidth="1"/>
    <col min="4639" max="4639" width="14.875" style="1" bestFit="1" customWidth="1"/>
    <col min="4640" max="4856" width="8.375" style="1"/>
    <col min="4857" max="4857" width="9.625" style="1" bestFit="1" customWidth="1"/>
    <col min="4858" max="4858" width="22.875" style="1" customWidth="1"/>
    <col min="4859" max="4859" width="28.375" style="1" customWidth="1"/>
    <col min="4860" max="4860" width="14" style="1" bestFit="1" customWidth="1"/>
    <col min="4861" max="4863" width="12.625" style="1" customWidth="1"/>
    <col min="4864" max="4864" width="15.375" style="1" customWidth="1"/>
    <col min="4865" max="4865" width="8" style="1" customWidth="1"/>
    <col min="4866" max="4866" width="9.875" style="1" customWidth="1"/>
    <col min="4867" max="4867" width="14.125" style="1" customWidth="1"/>
    <col min="4868" max="4868" width="7.5" style="1" customWidth="1"/>
    <col min="4869" max="4869" width="18.625" style="1" customWidth="1"/>
    <col min="4870" max="4870" width="10.625" style="1" customWidth="1"/>
    <col min="4871" max="4871" width="25" style="1" customWidth="1"/>
    <col min="4872" max="4872" width="13.375" style="1" bestFit="1" customWidth="1"/>
    <col min="4873" max="4873" width="14.5" style="1" customWidth="1"/>
    <col min="4874" max="4874" width="10.5" style="1" bestFit="1" customWidth="1"/>
    <col min="4875" max="4875" width="18.625" style="1" customWidth="1"/>
    <col min="4876" max="4876" width="14.125" style="1" customWidth="1"/>
    <col min="4877" max="4877" width="3.375" style="1" customWidth="1"/>
    <col min="4878" max="4878" width="12.375" style="1" bestFit="1" customWidth="1"/>
    <col min="4879" max="4879" width="14.875" style="1" customWidth="1"/>
    <col min="4880" max="4880" width="3.875" style="1" customWidth="1"/>
    <col min="4881" max="4881" width="10.375" style="1" customWidth="1"/>
    <col min="4882" max="4883" width="12.625" style="1" bestFit="1" customWidth="1"/>
    <col min="4884" max="4884" width="0.125" style="1" customWidth="1"/>
    <col min="4885" max="4885" width="9" style="1" bestFit="1" customWidth="1"/>
    <col min="4886" max="4886" width="9.125" style="1" customWidth="1"/>
    <col min="4887" max="4887" width="12.625" style="1" bestFit="1" customWidth="1"/>
    <col min="4888" max="4888" width="4.625" style="1" bestFit="1" customWidth="1"/>
    <col min="4889" max="4889" width="8.375" style="1"/>
    <col min="4890" max="4890" width="11.125" style="1" customWidth="1"/>
    <col min="4891" max="4891" width="11.625" style="1" bestFit="1" customWidth="1"/>
    <col min="4892" max="4892" width="11.125" style="1" bestFit="1" customWidth="1"/>
    <col min="4893" max="4893" width="10.625" style="1" bestFit="1" customWidth="1"/>
    <col min="4894" max="4894" width="8" style="1" bestFit="1" customWidth="1"/>
    <col min="4895" max="4895" width="14.875" style="1" bestFit="1" customWidth="1"/>
    <col min="4896" max="5112" width="8.375" style="1"/>
    <col min="5113" max="5113" width="9.625" style="1" bestFit="1" customWidth="1"/>
    <col min="5114" max="5114" width="22.875" style="1" customWidth="1"/>
    <col min="5115" max="5115" width="28.375" style="1" customWidth="1"/>
    <col min="5116" max="5116" width="14" style="1" bestFit="1" customWidth="1"/>
    <col min="5117" max="5119" width="12.625" style="1" customWidth="1"/>
    <col min="5120" max="5120" width="15.375" style="1" customWidth="1"/>
    <col min="5121" max="5121" width="8" style="1" customWidth="1"/>
    <col min="5122" max="5122" width="9.875" style="1" customWidth="1"/>
    <col min="5123" max="5123" width="14.125" style="1" customWidth="1"/>
    <col min="5124" max="5124" width="7.5" style="1" customWidth="1"/>
    <col min="5125" max="5125" width="18.625" style="1" customWidth="1"/>
    <col min="5126" max="5126" width="10.625" style="1" customWidth="1"/>
    <col min="5127" max="5127" width="25" style="1" customWidth="1"/>
    <col min="5128" max="5128" width="13.375" style="1" bestFit="1" customWidth="1"/>
    <col min="5129" max="5129" width="14.5" style="1" customWidth="1"/>
    <col min="5130" max="5130" width="10.5" style="1" bestFit="1" customWidth="1"/>
    <col min="5131" max="5131" width="18.625" style="1" customWidth="1"/>
    <col min="5132" max="5132" width="14.125" style="1" customWidth="1"/>
    <col min="5133" max="5133" width="3.375" style="1" customWidth="1"/>
    <col min="5134" max="5134" width="12.375" style="1" bestFit="1" customWidth="1"/>
    <col min="5135" max="5135" width="14.875" style="1" customWidth="1"/>
    <col min="5136" max="5136" width="3.875" style="1" customWidth="1"/>
    <col min="5137" max="5137" width="10.375" style="1" customWidth="1"/>
    <col min="5138" max="5139" width="12.625" style="1" bestFit="1" customWidth="1"/>
    <col min="5140" max="5140" width="0.125" style="1" customWidth="1"/>
    <col min="5141" max="5141" width="9" style="1" bestFit="1" customWidth="1"/>
    <col min="5142" max="5142" width="9.125" style="1" customWidth="1"/>
    <col min="5143" max="5143" width="12.625" style="1" bestFit="1" customWidth="1"/>
    <col min="5144" max="5144" width="4.625" style="1" bestFit="1" customWidth="1"/>
    <col min="5145" max="5145" width="8.375" style="1"/>
    <col min="5146" max="5146" width="11.125" style="1" customWidth="1"/>
    <col min="5147" max="5147" width="11.625" style="1" bestFit="1" customWidth="1"/>
    <col min="5148" max="5148" width="11.125" style="1" bestFit="1" customWidth="1"/>
    <col min="5149" max="5149" width="10.625" style="1" bestFit="1" customWidth="1"/>
    <col min="5150" max="5150" width="8" style="1" bestFit="1" customWidth="1"/>
    <col min="5151" max="5151" width="14.875" style="1" bestFit="1" customWidth="1"/>
    <col min="5152" max="5368" width="8.375" style="1"/>
    <col min="5369" max="5369" width="9.625" style="1" bestFit="1" customWidth="1"/>
    <col min="5370" max="5370" width="22.875" style="1" customWidth="1"/>
    <col min="5371" max="5371" width="28.375" style="1" customWidth="1"/>
    <col min="5372" max="5372" width="14" style="1" bestFit="1" customWidth="1"/>
    <col min="5373" max="5375" width="12.625" style="1" customWidth="1"/>
    <col min="5376" max="5376" width="15.375" style="1" customWidth="1"/>
    <col min="5377" max="5377" width="8" style="1" customWidth="1"/>
    <col min="5378" max="5378" width="9.875" style="1" customWidth="1"/>
    <col min="5379" max="5379" width="14.125" style="1" customWidth="1"/>
    <col min="5380" max="5380" width="7.5" style="1" customWidth="1"/>
    <col min="5381" max="5381" width="18.625" style="1" customWidth="1"/>
    <col min="5382" max="5382" width="10.625" style="1" customWidth="1"/>
    <col min="5383" max="5383" width="25" style="1" customWidth="1"/>
    <col min="5384" max="5384" width="13.375" style="1" bestFit="1" customWidth="1"/>
    <col min="5385" max="5385" width="14.5" style="1" customWidth="1"/>
    <col min="5386" max="5386" width="10.5" style="1" bestFit="1" customWidth="1"/>
    <col min="5387" max="5387" width="18.625" style="1" customWidth="1"/>
    <col min="5388" max="5388" width="14.125" style="1" customWidth="1"/>
    <col min="5389" max="5389" width="3.375" style="1" customWidth="1"/>
    <col min="5390" max="5390" width="12.375" style="1" bestFit="1" customWidth="1"/>
    <col min="5391" max="5391" width="14.875" style="1" customWidth="1"/>
    <col min="5392" max="5392" width="3.875" style="1" customWidth="1"/>
    <col min="5393" max="5393" width="10.375" style="1" customWidth="1"/>
    <col min="5394" max="5395" width="12.625" style="1" bestFit="1" customWidth="1"/>
    <col min="5396" max="5396" width="0.125" style="1" customWidth="1"/>
    <col min="5397" max="5397" width="9" style="1" bestFit="1" customWidth="1"/>
    <col min="5398" max="5398" width="9.125" style="1" customWidth="1"/>
    <col min="5399" max="5399" width="12.625" style="1" bestFit="1" customWidth="1"/>
    <col min="5400" max="5400" width="4.625" style="1" bestFit="1" customWidth="1"/>
    <col min="5401" max="5401" width="8.375" style="1"/>
    <col min="5402" max="5402" width="11.125" style="1" customWidth="1"/>
    <col min="5403" max="5403" width="11.625" style="1" bestFit="1" customWidth="1"/>
    <col min="5404" max="5404" width="11.125" style="1" bestFit="1" customWidth="1"/>
    <col min="5405" max="5405" width="10.625" style="1" bestFit="1" customWidth="1"/>
    <col min="5406" max="5406" width="8" style="1" bestFit="1" customWidth="1"/>
    <col min="5407" max="5407" width="14.875" style="1" bestFit="1" customWidth="1"/>
    <col min="5408" max="5624" width="8.375" style="1"/>
    <col min="5625" max="5625" width="9.625" style="1" bestFit="1" customWidth="1"/>
    <col min="5626" max="5626" width="22.875" style="1" customWidth="1"/>
    <col min="5627" max="5627" width="28.375" style="1" customWidth="1"/>
    <col min="5628" max="5628" width="14" style="1" bestFit="1" customWidth="1"/>
    <col min="5629" max="5631" width="12.625" style="1" customWidth="1"/>
    <col min="5632" max="5632" width="15.375" style="1" customWidth="1"/>
    <col min="5633" max="5633" width="8" style="1" customWidth="1"/>
    <col min="5634" max="5634" width="9.875" style="1" customWidth="1"/>
    <col min="5635" max="5635" width="14.125" style="1" customWidth="1"/>
    <col min="5636" max="5636" width="7.5" style="1" customWidth="1"/>
    <col min="5637" max="5637" width="18.625" style="1" customWidth="1"/>
    <col min="5638" max="5638" width="10.625" style="1" customWidth="1"/>
    <col min="5639" max="5639" width="25" style="1" customWidth="1"/>
    <col min="5640" max="5640" width="13.375" style="1" bestFit="1" customWidth="1"/>
    <col min="5641" max="5641" width="14.5" style="1" customWidth="1"/>
    <col min="5642" max="5642" width="10.5" style="1" bestFit="1" customWidth="1"/>
    <col min="5643" max="5643" width="18.625" style="1" customWidth="1"/>
    <col min="5644" max="5644" width="14.125" style="1" customWidth="1"/>
    <col min="5645" max="5645" width="3.375" style="1" customWidth="1"/>
    <col min="5646" max="5646" width="12.375" style="1" bestFit="1" customWidth="1"/>
    <col min="5647" max="5647" width="14.875" style="1" customWidth="1"/>
    <col min="5648" max="5648" width="3.875" style="1" customWidth="1"/>
    <col min="5649" max="5649" width="10.375" style="1" customWidth="1"/>
    <col min="5650" max="5651" width="12.625" style="1" bestFit="1" customWidth="1"/>
    <col min="5652" max="5652" width="0.125" style="1" customWidth="1"/>
    <col min="5653" max="5653" width="9" style="1" bestFit="1" customWidth="1"/>
    <col min="5654" max="5654" width="9.125" style="1" customWidth="1"/>
    <col min="5655" max="5655" width="12.625" style="1" bestFit="1" customWidth="1"/>
    <col min="5656" max="5656" width="4.625" style="1" bestFit="1" customWidth="1"/>
    <col min="5657" max="5657" width="8.375" style="1"/>
    <col min="5658" max="5658" width="11.125" style="1" customWidth="1"/>
    <col min="5659" max="5659" width="11.625" style="1" bestFit="1" customWidth="1"/>
    <col min="5660" max="5660" width="11.125" style="1" bestFit="1" customWidth="1"/>
    <col min="5661" max="5661" width="10.625" style="1" bestFit="1" customWidth="1"/>
    <col min="5662" max="5662" width="8" style="1" bestFit="1" customWidth="1"/>
    <col min="5663" max="5663" width="14.875" style="1" bestFit="1" customWidth="1"/>
    <col min="5664" max="5880" width="8.375" style="1"/>
    <col min="5881" max="5881" width="9.625" style="1" bestFit="1" customWidth="1"/>
    <col min="5882" max="5882" width="22.875" style="1" customWidth="1"/>
    <col min="5883" max="5883" width="28.375" style="1" customWidth="1"/>
    <col min="5884" max="5884" width="14" style="1" bestFit="1" customWidth="1"/>
    <col min="5885" max="5887" width="12.625" style="1" customWidth="1"/>
    <col min="5888" max="5888" width="15.375" style="1" customWidth="1"/>
    <col min="5889" max="5889" width="8" style="1" customWidth="1"/>
    <col min="5890" max="5890" width="9.875" style="1" customWidth="1"/>
    <col min="5891" max="5891" width="14.125" style="1" customWidth="1"/>
    <col min="5892" max="5892" width="7.5" style="1" customWidth="1"/>
    <col min="5893" max="5893" width="18.625" style="1" customWidth="1"/>
    <col min="5894" max="5894" width="10.625" style="1" customWidth="1"/>
    <col min="5895" max="5895" width="25" style="1" customWidth="1"/>
    <col min="5896" max="5896" width="13.375" style="1" bestFit="1" customWidth="1"/>
    <col min="5897" max="5897" width="14.5" style="1" customWidth="1"/>
    <col min="5898" max="5898" width="10.5" style="1" bestFit="1" customWidth="1"/>
    <col min="5899" max="5899" width="18.625" style="1" customWidth="1"/>
    <col min="5900" max="5900" width="14.125" style="1" customWidth="1"/>
    <col min="5901" max="5901" width="3.375" style="1" customWidth="1"/>
    <col min="5902" max="5902" width="12.375" style="1" bestFit="1" customWidth="1"/>
    <col min="5903" max="5903" width="14.875" style="1" customWidth="1"/>
    <col min="5904" max="5904" width="3.875" style="1" customWidth="1"/>
    <col min="5905" max="5905" width="10.375" style="1" customWidth="1"/>
    <col min="5906" max="5907" width="12.625" style="1" bestFit="1" customWidth="1"/>
    <col min="5908" max="5908" width="0.125" style="1" customWidth="1"/>
    <col min="5909" max="5909" width="9" style="1" bestFit="1" customWidth="1"/>
    <col min="5910" max="5910" width="9.125" style="1" customWidth="1"/>
    <col min="5911" max="5911" width="12.625" style="1" bestFit="1" customWidth="1"/>
    <col min="5912" max="5912" width="4.625" style="1" bestFit="1" customWidth="1"/>
    <col min="5913" max="5913" width="8.375" style="1"/>
    <col min="5914" max="5914" width="11.125" style="1" customWidth="1"/>
    <col min="5915" max="5915" width="11.625" style="1" bestFit="1" customWidth="1"/>
    <col min="5916" max="5916" width="11.125" style="1" bestFit="1" customWidth="1"/>
    <col min="5917" max="5917" width="10.625" style="1" bestFit="1" customWidth="1"/>
    <col min="5918" max="5918" width="8" style="1" bestFit="1" customWidth="1"/>
    <col min="5919" max="5919" width="14.875" style="1" bestFit="1" customWidth="1"/>
    <col min="5920" max="6136" width="8.375" style="1"/>
    <col min="6137" max="6137" width="9.625" style="1" bestFit="1" customWidth="1"/>
    <col min="6138" max="6138" width="22.875" style="1" customWidth="1"/>
    <col min="6139" max="6139" width="28.375" style="1" customWidth="1"/>
    <col min="6140" max="6140" width="14" style="1" bestFit="1" customWidth="1"/>
    <col min="6141" max="6143" width="12.625" style="1" customWidth="1"/>
    <col min="6144" max="6144" width="15.375" style="1" customWidth="1"/>
    <col min="6145" max="6145" width="8" style="1" customWidth="1"/>
    <col min="6146" max="6146" width="9.875" style="1" customWidth="1"/>
    <col min="6147" max="6147" width="14.125" style="1" customWidth="1"/>
    <col min="6148" max="6148" width="7.5" style="1" customWidth="1"/>
    <col min="6149" max="6149" width="18.625" style="1" customWidth="1"/>
    <col min="6150" max="6150" width="10.625" style="1" customWidth="1"/>
    <col min="6151" max="6151" width="25" style="1" customWidth="1"/>
    <col min="6152" max="6152" width="13.375" style="1" bestFit="1" customWidth="1"/>
    <col min="6153" max="6153" width="14.5" style="1" customWidth="1"/>
    <col min="6154" max="6154" width="10.5" style="1" bestFit="1" customWidth="1"/>
    <col min="6155" max="6155" width="18.625" style="1" customWidth="1"/>
    <col min="6156" max="6156" width="14.125" style="1" customWidth="1"/>
    <col min="6157" max="6157" width="3.375" style="1" customWidth="1"/>
    <col min="6158" max="6158" width="12.375" style="1" bestFit="1" customWidth="1"/>
    <col min="6159" max="6159" width="14.875" style="1" customWidth="1"/>
    <col min="6160" max="6160" width="3.875" style="1" customWidth="1"/>
    <col min="6161" max="6161" width="10.375" style="1" customWidth="1"/>
    <col min="6162" max="6163" width="12.625" style="1" bestFit="1" customWidth="1"/>
    <col min="6164" max="6164" width="0.125" style="1" customWidth="1"/>
    <col min="6165" max="6165" width="9" style="1" bestFit="1" customWidth="1"/>
    <col min="6166" max="6166" width="9.125" style="1" customWidth="1"/>
    <col min="6167" max="6167" width="12.625" style="1" bestFit="1" customWidth="1"/>
    <col min="6168" max="6168" width="4.625" style="1" bestFit="1" customWidth="1"/>
    <col min="6169" max="6169" width="8.375" style="1"/>
    <col min="6170" max="6170" width="11.125" style="1" customWidth="1"/>
    <col min="6171" max="6171" width="11.625" style="1" bestFit="1" customWidth="1"/>
    <col min="6172" max="6172" width="11.125" style="1" bestFit="1" customWidth="1"/>
    <col min="6173" max="6173" width="10.625" style="1" bestFit="1" customWidth="1"/>
    <col min="6174" max="6174" width="8" style="1" bestFit="1" customWidth="1"/>
    <col min="6175" max="6175" width="14.875" style="1" bestFit="1" customWidth="1"/>
    <col min="6176" max="6392" width="8.375" style="1"/>
    <col min="6393" max="6393" width="9.625" style="1" bestFit="1" customWidth="1"/>
    <col min="6394" max="6394" width="22.875" style="1" customWidth="1"/>
    <col min="6395" max="6395" width="28.375" style="1" customWidth="1"/>
    <col min="6396" max="6396" width="14" style="1" bestFit="1" customWidth="1"/>
    <col min="6397" max="6399" width="12.625" style="1" customWidth="1"/>
    <col min="6400" max="6400" width="15.375" style="1" customWidth="1"/>
    <col min="6401" max="6401" width="8" style="1" customWidth="1"/>
    <col min="6402" max="6402" width="9.875" style="1" customWidth="1"/>
    <col min="6403" max="6403" width="14.125" style="1" customWidth="1"/>
    <col min="6404" max="6404" width="7.5" style="1" customWidth="1"/>
    <col min="6405" max="6405" width="18.625" style="1" customWidth="1"/>
    <col min="6406" max="6406" width="10.625" style="1" customWidth="1"/>
    <col min="6407" max="6407" width="25" style="1" customWidth="1"/>
    <col min="6408" max="6408" width="13.375" style="1" bestFit="1" customWidth="1"/>
    <col min="6409" max="6409" width="14.5" style="1" customWidth="1"/>
    <col min="6410" max="6410" width="10.5" style="1" bestFit="1" customWidth="1"/>
    <col min="6411" max="6411" width="18.625" style="1" customWidth="1"/>
    <col min="6412" max="6412" width="14.125" style="1" customWidth="1"/>
    <col min="6413" max="6413" width="3.375" style="1" customWidth="1"/>
    <col min="6414" max="6414" width="12.375" style="1" bestFit="1" customWidth="1"/>
    <col min="6415" max="6415" width="14.875" style="1" customWidth="1"/>
    <col min="6416" max="6416" width="3.875" style="1" customWidth="1"/>
    <col min="6417" max="6417" width="10.375" style="1" customWidth="1"/>
    <col min="6418" max="6419" width="12.625" style="1" bestFit="1" customWidth="1"/>
    <col min="6420" max="6420" width="0.125" style="1" customWidth="1"/>
    <col min="6421" max="6421" width="9" style="1" bestFit="1" customWidth="1"/>
    <col min="6422" max="6422" width="9.125" style="1" customWidth="1"/>
    <col min="6423" max="6423" width="12.625" style="1" bestFit="1" customWidth="1"/>
    <col min="6424" max="6424" width="4.625" style="1" bestFit="1" customWidth="1"/>
    <col min="6425" max="6425" width="8.375" style="1"/>
    <col min="6426" max="6426" width="11.125" style="1" customWidth="1"/>
    <col min="6427" max="6427" width="11.625" style="1" bestFit="1" customWidth="1"/>
    <col min="6428" max="6428" width="11.125" style="1" bestFit="1" customWidth="1"/>
    <col min="6429" max="6429" width="10.625" style="1" bestFit="1" customWidth="1"/>
    <col min="6430" max="6430" width="8" style="1" bestFit="1" customWidth="1"/>
    <col min="6431" max="6431" width="14.875" style="1" bestFit="1" customWidth="1"/>
    <col min="6432" max="6648" width="8.375" style="1"/>
    <col min="6649" max="6649" width="9.625" style="1" bestFit="1" customWidth="1"/>
    <col min="6650" max="6650" width="22.875" style="1" customWidth="1"/>
    <col min="6651" max="6651" width="28.375" style="1" customWidth="1"/>
    <col min="6652" max="6652" width="14" style="1" bestFit="1" customWidth="1"/>
    <col min="6653" max="6655" width="12.625" style="1" customWidth="1"/>
    <col min="6656" max="6656" width="15.375" style="1" customWidth="1"/>
    <col min="6657" max="6657" width="8" style="1" customWidth="1"/>
    <col min="6658" max="6658" width="9.875" style="1" customWidth="1"/>
    <col min="6659" max="6659" width="14.125" style="1" customWidth="1"/>
    <col min="6660" max="6660" width="7.5" style="1" customWidth="1"/>
    <col min="6661" max="6661" width="18.625" style="1" customWidth="1"/>
    <col min="6662" max="6662" width="10.625" style="1" customWidth="1"/>
    <col min="6663" max="6663" width="25" style="1" customWidth="1"/>
    <col min="6664" max="6664" width="13.375" style="1" bestFit="1" customWidth="1"/>
    <col min="6665" max="6665" width="14.5" style="1" customWidth="1"/>
    <col min="6666" max="6666" width="10.5" style="1" bestFit="1" customWidth="1"/>
    <col min="6667" max="6667" width="18.625" style="1" customWidth="1"/>
    <col min="6668" max="6668" width="14.125" style="1" customWidth="1"/>
    <col min="6669" max="6669" width="3.375" style="1" customWidth="1"/>
    <col min="6670" max="6670" width="12.375" style="1" bestFit="1" customWidth="1"/>
    <col min="6671" max="6671" width="14.875" style="1" customWidth="1"/>
    <col min="6672" max="6672" width="3.875" style="1" customWidth="1"/>
    <col min="6673" max="6673" width="10.375" style="1" customWidth="1"/>
    <col min="6674" max="6675" width="12.625" style="1" bestFit="1" customWidth="1"/>
    <col min="6676" max="6676" width="0.125" style="1" customWidth="1"/>
    <col min="6677" max="6677" width="9" style="1" bestFit="1" customWidth="1"/>
    <col min="6678" max="6678" width="9.125" style="1" customWidth="1"/>
    <col min="6679" max="6679" width="12.625" style="1" bestFit="1" customWidth="1"/>
    <col min="6680" max="6680" width="4.625" style="1" bestFit="1" customWidth="1"/>
    <col min="6681" max="6681" width="8.375" style="1"/>
    <col min="6682" max="6682" width="11.125" style="1" customWidth="1"/>
    <col min="6683" max="6683" width="11.625" style="1" bestFit="1" customWidth="1"/>
    <col min="6684" max="6684" width="11.125" style="1" bestFit="1" customWidth="1"/>
    <col min="6685" max="6685" width="10.625" style="1" bestFit="1" customWidth="1"/>
    <col min="6686" max="6686" width="8" style="1" bestFit="1" customWidth="1"/>
    <col min="6687" max="6687" width="14.875" style="1" bestFit="1" customWidth="1"/>
    <col min="6688" max="6904" width="8.375" style="1"/>
    <col min="6905" max="6905" width="9.625" style="1" bestFit="1" customWidth="1"/>
    <col min="6906" max="6906" width="22.875" style="1" customWidth="1"/>
    <col min="6907" max="6907" width="28.375" style="1" customWidth="1"/>
    <col min="6908" max="6908" width="14" style="1" bestFit="1" customWidth="1"/>
    <col min="6909" max="6911" width="12.625" style="1" customWidth="1"/>
    <col min="6912" max="6912" width="15.375" style="1" customWidth="1"/>
    <col min="6913" max="6913" width="8" style="1" customWidth="1"/>
    <col min="6914" max="6914" width="9.875" style="1" customWidth="1"/>
    <col min="6915" max="6915" width="14.125" style="1" customWidth="1"/>
    <col min="6916" max="6916" width="7.5" style="1" customWidth="1"/>
    <col min="6917" max="6917" width="18.625" style="1" customWidth="1"/>
    <col min="6918" max="6918" width="10.625" style="1" customWidth="1"/>
    <col min="6919" max="6919" width="25" style="1" customWidth="1"/>
    <col min="6920" max="6920" width="13.375" style="1" bestFit="1" customWidth="1"/>
    <col min="6921" max="6921" width="14.5" style="1" customWidth="1"/>
    <col min="6922" max="6922" width="10.5" style="1" bestFit="1" customWidth="1"/>
    <col min="6923" max="6923" width="18.625" style="1" customWidth="1"/>
    <col min="6924" max="6924" width="14.125" style="1" customWidth="1"/>
    <col min="6925" max="6925" width="3.375" style="1" customWidth="1"/>
    <col min="6926" max="6926" width="12.375" style="1" bestFit="1" customWidth="1"/>
    <col min="6927" max="6927" width="14.875" style="1" customWidth="1"/>
    <col min="6928" max="6928" width="3.875" style="1" customWidth="1"/>
    <col min="6929" max="6929" width="10.375" style="1" customWidth="1"/>
    <col min="6930" max="6931" width="12.625" style="1" bestFit="1" customWidth="1"/>
    <col min="6932" max="6932" width="0.125" style="1" customWidth="1"/>
    <col min="6933" max="6933" width="9" style="1" bestFit="1" customWidth="1"/>
    <col min="6934" max="6934" width="9.125" style="1" customWidth="1"/>
    <col min="6935" max="6935" width="12.625" style="1" bestFit="1" customWidth="1"/>
    <col min="6936" max="6936" width="4.625" style="1" bestFit="1" customWidth="1"/>
    <col min="6937" max="6937" width="8.375" style="1"/>
    <col min="6938" max="6938" width="11.125" style="1" customWidth="1"/>
    <col min="6939" max="6939" width="11.625" style="1" bestFit="1" customWidth="1"/>
    <col min="6940" max="6940" width="11.125" style="1" bestFit="1" customWidth="1"/>
    <col min="6941" max="6941" width="10.625" style="1" bestFit="1" customWidth="1"/>
    <col min="6942" max="6942" width="8" style="1" bestFit="1" customWidth="1"/>
    <col min="6943" max="6943" width="14.875" style="1" bestFit="1" customWidth="1"/>
    <col min="6944" max="7160" width="8.375" style="1"/>
    <col min="7161" max="7161" width="9.625" style="1" bestFit="1" customWidth="1"/>
    <col min="7162" max="7162" width="22.875" style="1" customWidth="1"/>
    <col min="7163" max="7163" width="28.375" style="1" customWidth="1"/>
    <col min="7164" max="7164" width="14" style="1" bestFit="1" customWidth="1"/>
    <col min="7165" max="7167" width="12.625" style="1" customWidth="1"/>
    <col min="7168" max="7168" width="15.375" style="1" customWidth="1"/>
    <col min="7169" max="7169" width="8" style="1" customWidth="1"/>
    <col min="7170" max="7170" width="9.875" style="1" customWidth="1"/>
    <col min="7171" max="7171" width="14.125" style="1" customWidth="1"/>
    <col min="7172" max="7172" width="7.5" style="1" customWidth="1"/>
    <col min="7173" max="7173" width="18.625" style="1" customWidth="1"/>
    <col min="7174" max="7174" width="10.625" style="1" customWidth="1"/>
    <col min="7175" max="7175" width="25" style="1" customWidth="1"/>
    <col min="7176" max="7176" width="13.375" style="1" bestFit="1" customWidth="1"/>
    <col min="7177" max="7177" width="14.5" style="1" customWidth="1"/>
    <col min="7178" max="7178" width="10.5" style="1" bestFit="1" customWidth="1"/>
    <col min="7179" max="7179" width="18.625" style="1" customWidth="1"/>
    <col min="7180" max="7180" width="14.125" style="1" customWidth="1"/>
    <col min="7181" max="7181" width="3.375" style="1" customWidth="1"/>
    <col min="7182" max="7182" width="12.375" style="1" bestFit="1" customWidth="1"/>
    <col min="7183" max="7183" width="14.875" style="1" customWidth="1"/>
    <col min="7184" max="7184" width="3.875" style="1" customWidth="1"/>
    <col min="7185" max="7185" width="10.375" style="1" customWidth="1"/>
    <col min="7186" max="7187" width="12.625" style="1" bestFit="1" customWidth="1"/>
    <col min="7188" max="7188" width="0.125" style="1" customWidth="1"/>
    <col min="7189" max="7189" width="9" style="1" bestFit="1" customWidth="1"/>
    <col min="7190" max="7190" width="9.125" style="1" customWidth="1"/>
    <col min="7191" max="7191" width="12.625" style="1" bestFit="1" customWidth="1"/>
    <col min="7192" max="7192" width="4.625" style="1" bestFit="1" customWidth="1"/>
    <col min="7193" max="7193" width="8.375" style="1"/>
    <col min="7194" max="7194" width="11.125" style="1" customWidth="1"/>
    <col min="7195" max="7195" width="11.625" style="1" bestFit="1" customWidth="1"/>
    <col min="7196" max="7196" width="11.125" style="1" bestFit="1" customWidth="1"/>
    <col min="7197" max="7197" width="10.625" style="1" bestFit="1" customWidth="1"/>
    <col min="7198" max="7198" width="8" style="1" bestFit="1" customWidth="1"/>
    <col min="7199" max="7199" width="14.875" style="1" bestFit="1" customWidth="1"/>
    <col min="7200" max="7416" width="8.375" style="1"/>
    <col min="7417" max="7417" width="9.625" style="1" bestFit="1" customWidth="1"/>
    <col min="7418" max="7418" width="22.875" style="1" customWidth="1"/>
    <col min="7419" max="7419" width="28.375" style="1" customWidth="1"/>
    <col min="7420" max="7420" width="14" style="1" bestFit="1" customWidth="1"/>
    <col min="7421" max="7423" width="12.625" style="1" customWidth="1"/>
    <col min="7424" max="7424" width="15.375" style="1" customWidth="1"/>
    <col min="7425" max="7425" width="8" style="1" customWidth="1"/>
    <col min="7426" max="7426" width="9.875" style="1" customWidth="1"/>
    <col min="7427" max="7427" width="14.125" style="1" customWidth="1"/>
    <col min="7428" max="7428" width="7.5" style="1" customWidth="1"/>
    <col min="7429" max="7429" width="18.625" style="1" customWidth="1"/>
    <col min="7430" max="7430" width="10.625" style="1" customWidth="1"/>
    <col min="7431" max="7431" width="25" style="1" customWidth="1"/>
    <col min="7432" max="7432" width="13.375" style="1" bestFit="1" customWidth="1"/>
    <col min="7433" max="7433" width="14.5" style="1" customWidth="1"/>
    <col min="7434" max="7434" width="10.5" style="1" bestFit="1" customWidth="1"/>
    <col min="7435" max="7435" width="18.625" style="1" customWidth="1"/>
    <col min="7436" max="7436" width="14.125" style="1" customWidth="1"/>
    <col min="7437" max="7437" width="3.375" style="1" customWidth="1"/>
    <col min="7438" max="7438" width="12.375" style="1" bestFit="1" customWidth="1"/>
    <col min="7439" max="7439" width="14.875" style="1" customWidth="1"/>
    <col min="7440" max="7440" width="3.875" style="1" customWidth="1"/>
    <col min="7441" max="7441" width="10.375" style="1" customWidth="1"/>
    <col min="7442" max="7443" width="12.625" style="1" bestFit="1" customWidth="1"/>
    <col min="7444" max="7444" width="0.125" style="1" customWidth="1"/>
    <col min="7445" max="7445" width="9" style="1" bestFit="1" customWidth="1"/>
    <col min="7446" max="7446" width="9.125" style="1" customWidth="1"/>
    <col min="7447" max="7447" width="12.625" style="1" bestFit="1" customWidth="1"/>
    <col min="7448" max="7448" width="4.625" style="1" bestFit="1" customWidth="1"/>
    <col min="7449" max="7449" width="8.375" style="1"/>
    <col min="7450" max="7450" width="11.125" style="1" customWidth="1"/>
    <col min="7451" max="7451" width="11.625" style="1" bestFit="1" customWidth="1"/>
    <col min="7452" max="7452" width="11.125" style="1" bestFit="1" customWidth="1"/>
    <col min="7453" max="7453" width="10.625" style="1" bestFit="1" customWidth="1"/>
    <col min="7454" max="7454" width="8" style="1" bestFit="1" customWidth="1"/>
    <col min="7455" max="7455" width="14.875" style="1" bestFit="1" customWidth="1"/>
    <col min="7456" max="7672" width="8.375" style="1"/>
    <col min="7673" max="7673" width="9.625" style="1" bestFit="1" customWidth="1"/>
    <col min="7674" max="7674" width="22.875" style="1" customWidth="1"/>
    <col min="7675" max="7675" width="28.375" style="1" customWidth="1"/>
    <col min="7676" max="7676" width="14" style="1" bestFit="1" customWidth="1"/>
    <col min="7677" max="7679" width="12.625" style="1" customWidth="1"/>
    <col min="7680" max="7680" width="15.375" style="1" customWidth="1"/>
    <col min="7681" max="7681" width="8" style="1" customWidth="1"/>
    <col min="7682" max="7682" width="9.875" style="1" customWidth="1"/>
    <col min="7683" max="7683" width="14.125" style="1" customWidth="1"/>
    <col min="7684" max="7684" width="7.5" style="1" customWidth="1"/>
    <col min="7685" max="7685" width="18.625" style="1" customWidth="1"/>
    <col min="7686" max="7686" width="10.625" style="1" customWidth="1"/>
    <col min="7687" max="7687" width="25" style="1" customWidth="1"/>
    <col min="7688" max="7688" width="13.375" style="1" bestFit="1" customWidth="1"/>
    <col min="7689" max="7689" width="14.5" style="1" customWidth="1"/>
    <col min="7690" max="7690" width="10.5" style="1" bestFit="1" customWidth="1"/>
    <col min="7691" max="7691" width="18.625" style="1" customWidth="1"/>
    <col min="7692" max="7692" width="14.125" style="1" customWidth="1"/>
    <col min="7693" max="7693" width="3.375" style="1" customWidth="1"/>
    <col min="7694" max="7694" width="12.375" style="1" bestFit="1" customWidth="1"/>
    <col min="7695" max="7695" width="14.875" style="1" customWidth="1"/>
    <col min="7696" max="7696" width="3.875" style="1" customWidth="1"/>
    <col min="7697" max="7697" width="10.375" style="1" customWidth="1"/>
    <col min="7698" max="7699" width="12.625" style="1" bestFit="1" customWidth="1"/>
    <col min="7700" max="7700" width="0.125" style="1" customWidth="1"/>
    <col min="7701" max="7701" width="9" style="1" bestFit="1" customWidth="1"/>
    <col min="7702" max="7702" width="9.125" style="1" customWidth="1"/>
    <col min="7703" max="7703" width="12.625" style="1" bestFit="1" customWidth="1"/>
    <col min="7704" max="7704" width="4.625" style="1" bestFit="1" customWidth="1"/>
    <col min="7705" max="7705" width="8.375" style="1"/>
    <col min="7706" max="7706" width="11.125" style="1" customWidth="1"/>
    <col min="7707" max="7707" width="11.625" style="1" bestFit="1" customWidth="1"/>
    <col min="7708" max="7708" width="11.125" style="1" bestFit="1" customWidth="1"/>
    <col min="7709" max="7709" width="10.625" style="1" bestFit="1" customWidth="1"/>
    <col min="7710" max="7710" width="8" style="1" bestFit="1" customWidth="1"/>
    <col min="7711" max="7711" width="14.875" style="1" bestFit="1" customWidth="1"/>
    <col min="7712" max="7928" width="8.375" style="1"/>
    <col min="7929" max="7929" width="9.625" style="1" bestFit="1" customWidth="1"/>
    <col min="7930" max="7930" width="22.875" style="1" customWidth="1"/>
    <col min="7931" max="7931" width="28.375" style="1" customWidth="1"/>
    <col min="7932" max="7932" width="14" style="1" bestFit="1" customWidth="1"/>
    <col min="7933" max="7935" width="12.625" style="1" customWidth="1"/>
    <col min="7936" max="7936" width="15.375" style="1" customWidth="1"/>
    <col min="7937" max="7937" width="8" style="1" customWidth="1"/>
    <col min="7938" max="7938" width="9.875" style="1" customWidth="1"/>
    <col min="7939" max="7939" width="14.125" style="1" customWidth="1"/>
    <col min="7940" max="7940" width="7.5" style="1" customWidth="1"/>
    <col min="7941" max="7941" width="18.625" style="1" customWidth="1"/>
    <col min="7942" max="7942" width="10.625" style="1" customWidth="1"/>
    <col min="7943" max="7943" width="25" style="1" customWidth="1"/>
    <col min="7944" max="7944" width="13.375" style="1" bestFit="1" customWidth="1"/>
    <col min="7945" max="7945" width="14.5" style="1" customWidth="1"/>
    <col min="7946" max="7946" width="10.5" style="1" bestFit="1" customWidth="1"/>
    <col min="7947" max="7947" width="18.625" style="1" customWidth="1"/>
    <col min="7948" max="7948" width="14.125" style="1" customWidth="1"/>
    <col min="7949" max="7949" width="3.375" style="1" customWidth="1"/>
    <col min="7950" max="7950" width="12.375" style="1" bestFit="1" customWidth="1"/>
    <col min="7951" max="7951" width="14.875" style="1" customWidth="1"/>
    <col min="7952" max="7952" width="3.875" style="1" customWidth="1"/>
    <col min="7953" max="7953" width="10.375" style="1" customWidth="1"/>
    <col min="7954" max="7955" width="12.625" style="1" bestFit="1" customWidth="1"/>
    <col min="7956" max="7956" width="0.125" style="1" customWidth="1"/>
    <col min="7957" max="7957" width="9" style="1" bestFit="1" customWidth="1"/>
    <col min="7958" max="7958" width="9.125" style="1" customWidth="1"/>
    <col min="7959" max="7959" width="12.625" style="1" bestFit="1" customWidth="1"/>
    <col min="7960" max="7960" width="4.625" style="1" bestFit="1" customWidth="1"/>
    <col min="7961" max="7961" width="8.375" style="1"/>
    <col min="7962" max="7962" width="11.125" style="1" customWidth="1"/>
    <col min="7963" max="7963" width="11.625" style="1" bestFit="1" customWidth="1"/>
    <col min="7964" max="7964" width="11.125" style="1" bestFit="1" customWidth="1"/>
    <col min="7965" max="7965" width="10.625" style="1" bestFit="1" customWidth="1"/>
    <col min="7966" max="7966" width="8" style="1" bestFit="1" customWidth="1"/>
    <col min="7967" max="7967" width="14.875" style="1" bestFit="1" customWidth="1"/>
    <col min="7968" max="8184" width="8.375" style="1"/>
    <col min="8185" max="8185" width="9.625" style="1" bestFit="1" customWidth="1"/>
    <col min="8186" max="8186" width="22.875" style="1" customWidth="1"/>
    <col min="8187" max="8187" width="28.375" style="1" customWidth="1"/>
    <col min="8188" max="8188" width="14" style="1" bestFit="1" customWidth="1"/>
    <col min="8189" max="8191" width="12.625" style="1" customWidth="1"/>
    <col min="8192" max="8192" width="15.375" style="1" customWidth="1"/>
    <col min="8193" max="8193" width="8" style="1" customWidth="1"/>
    <col min="8194" max="8194" width="9.875" style="1" customWidth="1"/>
    <col min="8195" max="8195" width="14.125" style="1" customWidth="1"/>
    <col min="8196" max="8196" width="7.5" style="1" customWidth="1"/>
    <col min="8197" max="8197" width="18.625" style="1" customWidth="1"/>
    <col min="8198" max="8198" width="10.625" style="1" customWidth="1"/>
    <col min="8199" max="8199" width="25" style="1" customWidth="1"/>
    <col min="8200" max="8200" width="13.375" style="1" bestFit="1" customWidth="1"/>
    <col min="8201" max="8201" width="14.5" style="1" customWidth="1"/>
    <col min="8202" max="8202" width="10.5" style="1" bestFit="1" customWidth="1"/>
    <col min="8203" max="8203" width="18.625" style="1" customWidth="1"/>
    <col min="8204" max="8204" width="14.125" style="1" customWidth="1"/>
    <col min="8205" max="8205" width="3.375" style="1" customWidth="1"/>
    <col min="8206" max="8206" width="12.375" style="1" bestFit="1" customWidth="1"/>
    <col min="8207" max="8207" width="14.875" style="1" customWidth="1"/>
    <col min="8208" max="8208" width="3.875" style="1" customWidth="1"/>
    <col min="8209" max="8209" width="10.375" style="1" customWidth="1"/>
    <col min="8210" max="8211" width="12.625" style="1" bestFit="1" customWidth="1"/>
    <col min="8212" max="8212" width="0.125" style="1" customWidth="1"/>
    <col min="8213" max="8213" width="9" style="1" bestFit="1" customWidth="1"/>
    <col min="8214" max="8214" width="9.125" style="1" customWidth="1"/>
    <col min="8215" max="8215" width="12.625" style="1" bestFit="1" customWidth="1"/>
    <col min="8216" max="8216" width="4.625" style="1" bestFit="1" customWidth="1"/>
    <col min="8217" max="8217" width="8.375" style="1"/>
    <col min="8218" max="8218" width="11.125" style="1" customWidth="1"/>
    <col min="8219" max="8219" width="11.625" style="1" bestFit="1" customWidth="1"/>
    <col min="8220" max="8220" width="11.125" style="1" bestFit="1" customWidth="1"/>
    <col min="8221" max="8221" width="10.625" style="1" bestFit="1" customWidth="1"/>
    <col min="8222" max="8222" width="8" style="1" bestFit="1" customWidth="1"/>
    <col min="8223" max="8223" width="14.875" style="1" bestFit="1" customWidth="1"/>
    <col min="8224" max="8440" width="8.375" style="1"/>
    <col min="8441" max="8441" width="9.625" style="1" bestFit="1" customWidth="1"/>
    <col min="8442" max="8442" width="22.875" style="1" customWidth="1"/>
    <col min="8443" max="8443" width="28.375" style="1" customWidth="1"/>
    <col min="8444" max="8444" width="14" style="1" bestFit="1" customWidth="1"/>
    <col min="8445" max="8447" width="12.625" style="1" customWidth="1"/>
    <col min="8448" max="8448" width="15.375" style="1" customWidth="1"/>
    <col min="8449" max="8449" width="8" style="1" customWidth="1"/>
    <col min="8450" max="8450" width="9.875" style="1" customWidth="1"/>
    <col min="8451" max="8451" width="14.125" style="1" customWidth="1"/>
    <col min="8452" max="8452" width="7.5" style="1" customWidth="1"/>
    <col min="8453" max="8453" width="18.625" style="1" customWidth="1"/>
    <col min="8454" max="8454" width="10.625" style="1" customWidth="1"/>
    <col min="8455" max="8455" width="25" style="1" customWidth="1"/>
    <col min="8456" max="8456" width="13.375" style="1" bestFit="1" customWidth="1"/>
    <col min="8457" max="8457" width="14.5" style="1" customWidth="1"/>
    <col min="8458" max="8458" width="10.5" style="1" bestFit="1" customWidth="1"/>
    <col min="8459" max="8459" width="18.625" style="1" customWidth="1"/>
    <col min="8460" max="8460" width="14.125" style="1" customWidth="1"/>
    <col min="8461" max="8461" width="3.375" style="1" customWidth="1"/>
    <col min="8462" max="8462" width="12.375" style="1" bestFit="1" customWidth="1"/>
    <col min="8463" max="8463" width="14.875" style="1" customWidth="1"/>
    <col min="8464" max="8464" width="3.875" style="1" customWidth="1"/>
    <col min="8465" max="8465" width="10.375" style="1" customWidth="1"/>
    <col min="8466" max="8467" width="12.625" style="1" bestFit="1" customWidth="1"/>
    <col min="8468" max="8468" width="0.125" style="1" customWidth="1"/>
    <col min="8469" max="8469" width="9" style="1" bestFit="1" customWidth="1"/>
    <col min="8470" max="8470" width="9.125" style="1" customWidth="1"/>
    <col min="8471" max="8471" width="12.625" style="1" bestFit="1" customWidth="1"/>
    <col min="8472" max="8472" width="4.625" style="1" bestFit="1" customWidth="1"/>
    <col min="8473" max="8473" width="8.375" style="1"/>
    <col min="8474" max="8474" width="11.125" style="1" customWidth="1"/>
    <col min="8475" max="8475" width="11.625" style="1" bestFit="1" customWidth="1"/>
    <col min="8476" max="8476" width="11.125" style="1" bestFit="1" customWidth="1"/>
    <col min="8477" max="8477" width="10.625" style="1" bestFit="1" customWidth="1"/>
    <col min="8478" max="8478" width="8" style="1" bestFit="1" customWidth="1"/>
    <col min="8479" max="8479" width="14.875" style="1" bestFit="1" customWidth="1"/>
    <col min="8480" max="8696" width="8.375" style="1"/>
    <col min="8697" max="8697" width="9.625" style="1" bestFit="1" customWidth="1"/>
    <col min="8698" max="8698" width="22.875" style="1" customWidth="1"/>
    <col min="8699" max="8699" width="28.375" style="1" customWidth="1"/>
    <col min="8700" max="8700" width="14" style="1" bestFit="1" customWidth="1"/>
    <col min="8701" max="8703" width="12.625" style="1" customWidth="1"/>
    <col min="8704" max="8704" width="15.375" style="1" customWidth="1"/>
    <col min="8705" max="8705" width="8" style="1" customWidth="1"/>
    <col min="8706" max="8706" width="9.875" style="1" customWidth="1"/>
    <col min="8707" max="8707" width="14.125" style="1" customWidth="1"/>
    <col min="8708" max="8708" width="7.5" style="1" customWidth="1"/>
    <col min="8709" max="8709" width="18.625" style="1" customWidth="1"/>
    <col min="8710" max="8710" width="10.625" style="1" customWidth="1"/>
    <col min="8711" max="8711" width="25" style="1" customWidth="1"/>
    <col min="8712" max="8712" width="13.375" style="1" bestFit="1" customWidth="1"/>
    <col min="8713" max="8713" width="14.5" style="1" customWidth="1"/>
    <col min="8714" max="8714" width="10.5" style="1" bestFit="1" customWidth="1"/>
    <col min="8715" max="8715" width="18.625" style="1" customWidth="1"/>
    <col min="8716" max="8716" width="14.125" style="1" customWidth="1"/>
    <col min="8717" max="8717" width="3.375" style="1" customWidth="1"/>
    <col min="8718" max="8718" width="12.375" style="1" bestFit="1" customWidth="1"/>
    <col min="8719" max="8719" width="14.875" style="1" customWidth="1"/>
    <col min="8720" max="8720" width="3.875" style="1" customWidth="1"/>
    <col min="8721" max="8721" width="10.375" style="1" customWidth="1"/>
    <col min="8722" max="8723" width="12.625" style="1" bestFit="1" customWidth="1"/>
    <col min="8724" max="8724" width="0.125" style="1" customWidth="1"/>
    <col min="8725" max="8725" width="9" style="1" bestFit="1" customWidth="1"/>
    <col min="8726" max="8726" width="9.125" style="1" customWidth="1"/>
    <col min="8727" max="8727" width="12.625" style="1" bestFit="1" customWidth="1"/>
    <col min="8728" max="8728" width="4.625" style="1" bestFit="1" customWidth="1"/>
    <col min="8729" max="8729" width="8.375" style="1"/>
    <col min="8730" max="8730" width="11.125" style="1" customWidth="1"/>
    <col min="8731" max="8731" width="11.625" style="1" bestFit="1" customWidth="1"/>
    <col min="8732" max="8732" width="11.125" style="1" bestFit="1" customWidth="1"/>
    <col min="8733" max="8733" width="10.625" style="1" bestFit="1" customWidth="1"/>
    <col min="8734" max="8734" width="8" style="1" bestFit="1" customWidth="1"/>
    <col min="8735" max="8735" width="14.875" style="1" bestFit="1" customWidth="1"/>
    <col min="8736" max="8952" width="8.375" style="1"/>
    <col min="8953" max="8953" width="9.625" style="1" bestFit="1" customWidth="1"/>
    <col min="8954" max="8954" width="22.875" style="1" customWidth="1"/>
    <col min="8955" max="8955" width="28.375" style="1" customWidth="1"/>
    <col min="8956" max="8956" width="14" style="1" bestFit="1" customWidth="1"/>
    <col min="8957" max="8959" width="12.625" style="1" customWidth="1"/>
    <col min="8960" max="8960" width="15.375" style="1" customWidth="1"/>
    <col min="8961" max="8961" width="8" style="1" customWidth="1"/>
    <col min="8962" max="8962" width="9.875" style="1" customWidth="1"/>
    <col min="8963" max="8963" width="14.125" style="1" customWidth="1"/>
    <col min="8964" max="8964" width="7.5" style="1" customWidth="1"/>
    <col min="8965" max="8965" width="18.625" style="1" customWidth="1"/>
    <col min="8966" max="8966" width="10.625" style="1" customWidth="1"/>
    <col min="8967" max="8967" width="25" style="1" customWidth="1"/>
    <col min="8968" max="8968" width="13.375" style="1" bestFit="1" customWidth="1"/>
    <col min="8969" max="8969" width="14.5" style="1" customWidth="1"/>
    <col min="8970" max="8970" width="10.5" style="1" bestFit="1" customWidth="1"/>
    <col min="8971" max="8971" width="18.625" style="1" customWidth="1"/>
    <col min="8972" max="8972" width="14.125" style="1" customWidth="1"/>
    <col min="8973" max="8973" width="3.375" style="1" customWidth="1"/>
    <col min="8974" max="8974" width="12.375" style="1" bestFit="1" customWidth="1"/>
    <col min="8975" max="8975" width="14.875" style="1" customWidth="1"/>
    <col min="8976" max="8976" width="3.875" style="1" customWidth="1"/>
    <col min="8977" max="8977" width="10.375" style="1" customWidth="1"/>
    <col min="8978" max="8979" width="12.625" style="1" bestFit="1" customWidth="1"/>
    <col min="8980" max="8980" width="0.125" style="1" customWidth="1"/>
    <col min="8981" max="8981" width="9" style="1" bestFit="1" customWidth="1"/>
    <col min="8982" max="8982" width="9.125" style="1" customWidth="1"/>
    <col min="8983" max="8983" width="12.625" style="1" bestFit="1" customWidth="1"/>
    <col min="8984" max="8984" width="4.625" style="1" bestFit="1" customWidth="1"/>
    <col min="8985" max="8985" width="8.375" style="1"/>
    <col min="8986" max="8986" width="11.125" style="1" customWidth="1"/>
    <col min="8987" max="8987" width="11.625" style="1" bestFit="1" customWidth="1"/>
    <col min="8988" max="8988" width="11.125" style="1" bestFit="1" customWidth="1"/>
    <col min="8989" max="8989" width="10.625" style="1" bestFit="1" customWidth="1"/>
    <col min="8990" max="8990" width="8" style="1" bestFit="1" customWidth="1"/>
    <col min="8991" max="8991" width="14.875" style="1" bestFit="1" customWidth="1"/>
    <col min="8992" max="9208" width="8.375" style="1"/>
    <col min="9209" max="9209" width="9.625" style="1" bestFit="1" customWidth="1"/>
    <col min="9210" max="9210" width="22.875" style="1" customWidth="1"/>
    <col min="9211" max="9211" width="28.375" style="1" customWidth="1"/>
    <col min="9212" max="9212" width="14" style="1" bestFit="1" customWidth="1"/>
    <col min="9213" max="9215" width="12.625" style="1" customWidth="1"/>
    <col min="9216" max="9216" width="15.375" style="1" customWidth="1"/>
    <col min="9217" max="9217" width="8" style="1" customWidth="1"/>
    <col min="9218" max="9218" width="9.875" style="1" customWidth="1"/>
    <col min="9219" max="9219" width="14.125" style="1" customWidth="1"/>
    <col min="9220" max="9220" width="7.5" style="1" customWidth="1"/>
    <col min="9221" max="9221" width="18.625" style="1" customWidth="1"/>
    <col min="9222" max="9222" width="10.625" style="1" customWidth="1"/>
    <col min="9223" max="9223" width="25" style="1" customWidth="1"/>
    <col min="9224" max="9224" width="13.375" style="1" bestFit="1" customWidth="1"/>
    <col min="9225" max="9225" width="14.5" style="1" customWidth="1"/>
    <col min="9226" max="9226" width="10.5" style="1" bestFit="1" customWidth="1"/>
    <col min="9227" max="9227" width="18.625" style="1" customWidth="1"/>
    <col min="9228" max="9228" width="14.125" style="1" customWidth="1"/>
    <col min="9229" max="9229" width="3.375" style="1" customWidth="1"/>
    <col min="9230" max="9230" width="12.375" style="1" bestFit="1" customWidth="1"/>
    <col min="9231" max="9231" width="14.875" style="1" customWidth="1"/>
    <col min="9232" max="9232" width="3.875" style="1" customWidth="1"/>
    <col min="9233" max="9233" width="10.375" style="1" customWidth="1"/>
    <col min="9234" max="9235" width="12.625" style="1" bestFit="1" customWidth="1"/>
    <col min="9236" max="9236" width="0.125" style="1" customWidth="1"/>
    <col min="9237" max="9237" width="9" style="1" bestFit="1" customWidth="1"/>
    <col min="9238" max="9238" width="9.125" style="1" customWidth="1"/>
    <col min="9239" max="9239" width="12.625" style="1" bestFit="1" customWidth="1"/>
    <col min="9240" max="9240" width="4.625" style="1" bestFit="1" customWidth="1"/>
    <col min="9241" max="9241" width="8.375" style="1"/>
    <col min="9242" max="9242" width="11.125" style="1" customWidth="1"/>
    <col min="9243" max="9243" width="11.625" style="1" bestFit="1" customWidth="1"/>
    <col min="9244" max="9244" width="11.125" style="1" bestFit="1" customWidth="1"/>
    <col min="9245" max="9245" width="10.625" style="1" bestFit="1" customWidth="1"/>
    <col min="9246" max="9246" width="8" style="1" bestFit="1" customWidth="1"/>
    <col min="9247" max="9247" width="14.875" style="1" bestFit="1" customWidth="1"/>
    <col min="9248" max="9464" width="8.375" style="1"/>
    <col min="9465" max="9465" width="9.625" style="1" bestFit="1" customWidth="1"/>
    <col min="9466" max="9466" width="22.875" style="1" customWidth="1"/>
    <col min="9467" max="9467" width="28.375" style="1" customWidth="1"/>
    <col min="9468" max="9468" width="14" style="1" bestFit="1" customWidth="1"/>
    <col min="9469" max="9471" width="12.625" style="1" customWidth="1"/>
    <col min="9472" max="9472" width="15.375" style="1" customWidth="1"/>
    <col min="9473" max="9473" width="8" style="1" customWidth="1"/>
    <col min="9474" max="9474" width="9.875" style="1" customWidth="1"/>
    <col min="9475" max="9475" width="14.125" style="1" customWidth="1"/>
    <col min="9476" max="9476" width="7.5" style="1" customWidth="1"/>
    <col min="9477" max="9477" width="18.625" style="1" customWidth="1"/>
    <col min="9478" max="9478" width="10.625" style="1" customWidth="1"/>
    <col min="9479" max="9479" width="25" style="1" customWidth="1"/>
    <col min="9480" max="9480" width="13.375" style="1" bestFit="1" customWidth="1"/>
    <col min="9481" max="9481" width="14.5" style="1" customWidth="1"/>
    <col min="9482" max="9482" width="10.5" style="1" bestFit="1" customWidth="1"/>
    <col min="9483" max="9483" width="18.625" style="1" customWidth="1"/>
    <col min="9484" max="9484" width="14.125" style="1" customWidth="1"/>
    <col min="9485" max="9485" width="3.375" style="1" customWidth="1"/>
    <col min="9486" max="9486" width="12.375" style="1" bestFit="1" customWidth="1"/>
    <col min="9487" max="9487" width="14.875" style="1" customWidth="1"/>
    <col min="9488" max="9488" width="3.875" style="1" customWidth="1"/>
    <col min="9489" max="9489" width="10.375" style="1" customWidth="1"/>
    <col min="9490" max="9491" width="12.625" style="1" bestFit="1" customWidth="1"/>
    <col min="9492" max="9492" width="0.125" style="1" customWidth="1"/>
    <col min="9493" max="9493" width="9" style="1" bestFit="1" customWidth="1"/>
    <col min="9494" max="9494" width="9.125" style="1" customWidth="1"/>
    <col min="9495" max="9495" width="12.625" style="1" bestFit="1" customWidth="1"/>
    <col min="9496" max="9496" width="4.625" style="1" bestFit="1" customWidth="1"/>
    <col min="9497" max="9497" width="8.375" style="1"/>
    <col min="9498" max="9498" width="11.125" style="1" customWidth="1"/>
    <col min="9499" max="9499" width="11.625" style="1" bestFit="1" customWidth="1"/>
    <col min="9500" max="9500" width="11.125" style="1" bestFit="1" customWidth="1"/>
    <col min="9501" max="9501" width="10.625" style="1" bestFit="1" customWidth="1"/>
    <col min="9502" max="9502" width="8" style="1" bestFit="1" customWidth="1"/>
    <col min="9503" max="9503" width="14.875" style="1" bestFit="1" customWidth="1"/>
    <col min="9504" max="9720" width="8.375" style="1"/>
    <col min="9721" max="9721" width="9.625" style="1" bestFit="1" customWidth="1"/>
    <col min="9722" max="9722" width="22.875" style="1" customWidth="1"/>
    <col min="9723" max="9723" width="28.375" style="1" customWidth="1"/>
    <col min="9724" max="9724" width="14" style="1" bestFit="1" customWidth="1"/>
    <col min="9725" max="9727" width="12.625" style="1" customWidth="1"/>
    <col min="9728" max="9728" width="15.375" style="1" customWidth="1"/>
    <col min="9729" max="9729" width="8" style="1" customWidth="1"/>
    <col min="9730" max="9730" width="9.875" style="1" customWidth="1"/>
    <col min="9731" max="9731" width="14.125" style="1" customWidth="1"/>
    <col min="9732" max="9732" width="7.5" style="1" customWidth="1"/>
    <col min="9733" max="9733" width="18.625" style="1" customWidth="1"/>
    <col min="9734" max="9734" width="10.625" style="1" customWidth="1"/>
    <col min="9735" max="9735" width="25" style="1" customWidth="1"/>
    <col min="9736" max="9736" width="13.375" style="1" bestFit="1" customWidth="1"/>
    <col min="9737" max="9737" width="14.5" style="1" customWidth="1"/>
    <col min="9738" max="9738" width="10.5" style="1" bestFit="1" customWidth="1"/>
    <col min="9739" max="9739" width="18.625" style="1" customWidth="1"/>
    <col min="9740" max="9740" width="14.125" style="1" customWidth="1"/>
    <col min="9741" max="9741" width="3.375" style="1" customWidth="1"/>
    <col min="9742" max="9742" width="12.375" style="1" bestFit="1" customWidth="1"/>
    <col min="9743" max="9743" width="14.875" style="1" customWidth="1"/>
    <col min="9744" max="9744" width="3.875" style="1" customWidth="1"/>
    <col min="9745" max="9745" width="10.375" style="1" customWidth="1"/>
    <col min="9746" max="9747" width="12.625" style="1" bestFit="1" customWidth="1"/>
    <col min="9748" max="9748" width="0.125" style="1" customWidth="1"/>
    <col min="9749" max="9749" width="9" style="1" bestFit="1" customWidth="1"/>
    <col min="9750" max="9750" width="9.125" style="1" customWidth="1"/>
    <col min="9751" max="9751" width="12.625" style="1" bestFit="1" customWidth="1"/>
    <col min="9752" max="9752" width="4.625" style="1" bestFit="1" customWidth="1"/>
    <col min="9753" max="9753" width="8.375" style="1"/>
    <col min="9754" max="9754" width="11.125" style="1" customWidth="1"/>
    <col min="9755" max="9755" width="11.625" style="1" bestFit="1" customWidth="1"/>
    <col min="9756" max="9756" width="11.125" style="1" bestFit="1" customWidth="1"/>
    <col min="9757" max="9757" width="10.625" style="1" bestFit="1" customWidth="1"/>
    <col min="9758" max="9758" width="8" style="1" bestFit="1" customWidth="1"/>
    <col min="9759" max="9759" width="14.875" style="1" bestFit="1" customWidth="1"/>
    <col min="9760" max="9976" width="8.375" style="1"/>
    <col min="9977" max="9977" width="9.625" style="1" bestFit="1" customWidth="1"/>
    <col min="9978" max="9978" width="22.875" style="1" customWidth="1"/>
    <col min="9979" max="9979" width="28.375" style="1" customWidth="1"/>
    <col min="9980" max="9980" width="14" style="1" bestFit="1" customWidth="1"/>
    <col min="9981" max="9983" width="12.625" style="1" customWidth="1"/>
    <col min="9984" max="9984" width="15.375" style="1" customWidth="1"/>
    <col min="9985" max="9985" width="8" style="1" customWidth="1"/>
    <col min="9986" max="9986" width="9.875" style="1" customWidth="1"/>
    <col min="9987" max="9987" width="14.125" style="1" customWidth="1"/>
    <col min="9988" max="9988" width="7.5" style="1" customWidth="1"/>
    <col min="9989" max="9989" width="18.625" style="1" customWidth="1"/>
    <col min="9990" max="9990" width="10.625" style="1" customWidth="1"/>
    <col min="9991" max="9991" width="25" style="1" customWidth="1"/>
    <col min="9992" max="9992" width="13.375" style="1" bestFit="1" customWidth="1"/>
    <col min="9993" max="9993" width="14.5" style="1" customWidth="1"/>
    <col min="9994" max="9994" width="10.5" style="1" bestFit="1" customWidth="1"/>
    <col min="9995" max="9995" width="18.625" style="1" customWidth="1"/>
    <col min="9996" max="9996" width="14.125" style="1" customWidth="1"/>
    <col min="9997" max="9997" width="3.375" style="1" customWidth="1"/>
    <col min="9998" max="9998" width="12.375" style="1" bestFit="1" customWidth="1"/>
    <col min="9999" max="9999" width="14.875" style="1" customWidth="1"/>
    <col min="10000" max="10000" width="3.875" style="1" customWidth="1"/>
    <col min="10001" max="10001" width="10.375" style="1" customWidth="1"/>
    <col min="10002" max="10003" width="12.625" style="1" bestFit="1" customWidth="1"/>
    <col min="10004" max="10004" width="0.125" style="1" customWidth="1"/>
    <col min="10005" max="10005" width="9" style="1" bestFit="1" customWidth="1"/>
    <col min="10006" max="10006" width="9.125" style="1" customWidth="1"/>
    <col min="10007" max="10007" width="12.625" style="1" bestFit="1" customWidth="1"/>
    <col min="10008" max="10008" width="4.625" style="1" bestFit="1" customWidth="1"/>
    <col min="10009" max="10009" width="8.375" style="1"/>
    <col min="10010" max="10010" width="11.125" style="1" customWidth="1"/>
    <col min="10011" max="10011" width="11.625" style="1" bestFit="1" customWidth="1"/>
    <col min="10012" max="10012" width="11.125" style="1" bestFit="1" customWidth="1"/>
    <col min="10013" max="10013" width="10.625" style="1" bestFit="1" customWidth="1"/>
    <col min="10014" max="10014" width="8" style="1" bestFit="1" customWidth="1"/>
    <col min="10015" max="10015" width="14.875" style="1" bestFit="1" customWidth="1"/>
    <col min="10016" max="10232" width="8.375" style="1"/>
    <col min="10233" max="10233" width="9.625" style="1" bestFit="1" customWidth="1"/>
    <col min="10234" max="10234" width="22.875" style="1" customWidth="1"/>
    <col min="10235" max="10235" width="28.375" style="1" customWidth="1"/>
    <col min="10236" max="10236" width="14" style="1" bestFit="1" customWidth="1"/>
    <col min="10237" max="10239" width="12.625" style="1" customWidth="1"/>
    <col min="10240" max="10240" width="15.375" style="1" customWidth="1"/>
    <col min="10241" max="10241" width="8" style="1" customWidth="1"/>
    <col min="10242" max="10242" width="9.875" style="1" customWidth="1"/>
    <col min="10243" max="10243" width="14.125" style="1" customWidth="1"/>
    <col min="10244" max="10244" width="7.5" style="1" customWidth="1"/>
    <col min="10245" max="10245" width="18.625" style="1" customWidth="1"/>
    <col min="10246" max="10246" width="10.625" style="1" customWidth="1"/>
    <col min="10247" max="10247" width="25" style="1" customWidth="1"/>
    <col min="10248" max="10248" width="13.375" style="1" bestFit="1" customWidth="1"/>
    <col min="10249" max="10249" width="14.5" style="1" customWidth="1"/>
    <col min="10250" max="10250" width="10.5" style="1" bestFit="1" customWidth="1"/>
    <col min="10251" max="10251" width="18.625" style="1" customWidth="1"/>
    <col min="10252" max="10252" width="14.125" style="1" customWidth="1"/>
    <col min="10253" max="10253" width="3.375" style="1" customWidth="1"/>
    <col min="10254" max="10254" width="12.375" style="1" bestFit="1" customWidth="1"/>
    <col min="10255" max="10255" width="14.875" style="1" customWidth="1"/>
    <col min="10256" max="10256" width="3.875" style="1" customWidth="1"/>
    <col min="10257" max="10257" width="10.375" style="1" customWidth="1"/>
    <col min="10258" max="10259" width="12.625" style="1" bestFit="1" customWidth="1"/>
    <col min="10260" max="10260" width="0.125" style="1" customWidth="1"/>
    <col min="10261" max="10261" width="9" style="1" bestFit="1" customWidth="1"/>
    <col min="10262" max="10262" width="9.125" style="1" customWidth="1"/>
    <col min="10263" max="10263" width="12.625" style="1" bestFit="1" customWidth="1"/>
    <col min="10264" max="10264" width="4.625" style="1" bestFit="1" customWidth="1"/>
    <col min="10265" max="10265" width="8.375" style="1"/>
    <col min="10266" max="10266" width="11.125" style="1" customWidth="1"/>
    <col min="10267" max="10267" width="11.625" style="1" bestFit="1" customWidth="1"/>
    <col min="10268" max="10268" width="11.125" style="1" bestFit="1" customWidth="1"/>
    <col min="10269" max="10269" width="10.625" style="1" bestFit="1" customWidth="1"/>
    <col min="10270" max="10270" width="8" style="1" bestFit="1" customWidth="1"/>
    <col min="10271" max="10271" width="14.875" style="1" bestFit="1" customWidth="1"/>
    <col min="10272" max="10488" width="8.375" style="1"/>
    <col min="10489" max="10489" width="9.625" style="1" bestFit="1" customWidth="1"/>
    <col min="10490" max="10490" width="22.875" style="1" customWidth="1"/>
    <col min="10491" max="10491" width="28.375" style="1" customWidth="1"/>
    <col min="10492" max="10492" width="14" style="1" bestFit="1" customWidth="1"/>
    <col min="10493" max="10495" width="12.625" style="1" customWidth="1"/>
    <col min="10496" max="10496" width="15.375" style="1" customWidth="1"/>
    <col min="10497" max="10497" width="8" style="1" customWidth="1"/>
    <col min="10498" max="10498" width="9.875" style="1" customWidth="1"/>
    <col min="10499" max="10499" width="14.125" style="1" customWidth="1"/>
    <col min="10500" max="10500" width="7.5" style="1" customWidth="1"/>
    <col min="10501" max="10501" width="18.625" style="1" customWidth="1"/>
    <col min="10502" max="10502" width="10.625" style="1" customWidth="1"/>
    <col min="10503" max="10503" width="25" style="1" customWidth="1"/>
    <col min="10504" max="10504" width="13.375" style="1" bestFit="1" customWidth="1"/>
    <col min="10505" max="10505" width="14.5" style="1" customWidth="1"/>
    <col min="10506" max="10506" width="10.5" style="1" bestFit="1" customWidth="1"/>
    <col min="10507" max="10507" width="18.625" style="1" customWidth="1"/>
    <col min="10508" max="10508" width="14.125" style="1" customWidth="1"/>
    <col min="10509" max="10509" width="3.375" style="1" customWidth="1"/>
    <col min="10510" max="10510" width="12.375" style="1" bestFit="1" customWidth="1"/>
    <col min="10511" max="10511" width="14.875" style="1" customWidth="1"/>
    <col min="10512" max="10512" width="3.875" style="1" customWidth="1"/>
    <col min="10513" max="10513" width="10.375" style="1" customWidth="1"/>
    <col min="10514" max="10515" width="12.625" style="1" bestFit="1" customWidth="1"/>
    <col min="10516" max="10516" width="0.125" style="1" customWidth="1"/>
    <col min="10517" max="10517" width="9" style="1" bestFit="1" customWidth="1"/>
    <col min="10518" max="10518" width="9.125" style="1" customWidth="1"/>
    <col min="10519" max="10519" width="12.625" style="1" bestFit="1" customWidth="1"/>
    <col min="10520" max="10520" width="4.625" style="1" bestFit="1" customWidth="1"/>
    <col min="10521" max="10521" width="8.375" style="1"/>
    <col min="10522" max="10522" width="11.125" style="1" customWidth="1"/>
    <col min="10523" max="10523" width="11.625" style="1" bestFit="1" customWidth="1"/>
    <col min="10524" max="10524" width="11.125" style="1" bestFit="1" customWidth="1"/>
    <col min="10525" max="10525" width="10.625" style="1" bestFit="1" customWidth="1"/>
    <col min="10526" max="10526" width="8" style="1" bestFit="1" customWidth="1"/>
    <col min="10527" max="10527" width="14.875" style="1" bestFit="1" customWidth="1"/>
    <col min="10528" max="10744" width="8.375" style="1"/>
    <col min="10745" max="10745" width="9.625" style="1" bestFit="1" customWidth="1"/>
    <col min="10746" max="10746" width="22.875" style="1" customWidth="1"/>
    <col min="10747" max="10747" width="28.375" style="1" customWidth="1"/>
    <col min="10748" max="10748" width="14" style="1" bestFit="1" customWidth="1"/>
    <col min="10749" max="10751" width="12.625" style="1" customWidth="1"/>
    <col min="10752" max="10752" width="15.375" style="1" customWidth="1"/>
    <col min="10753" max="10753" width="8" style="1" customWidth="1"/>
    <col min="10754" max="10754" width="9.875" style="1" customWidth="1"/>
    <col min="10755" max="10755" width="14.125" style="1" customWidth="1"/>
    <col min="10756" max="10756" width="7.5" style="1" customWidth="1"/>
    <col min="10757" max="10757" width="18.625" style="1" customWidth="1"/>
    <col min="10758" max="10758" width="10.625" style="1" customWidth="1"/>
    <col min="10759" max="10759" width="25" style="1" customWidth="1"/>
    <col min="10760" max="10760" width="13.375" style="1" bestFit="1" customWidth="1"/>
    <col min="10761" max="10761" width="14.5" style="1" customWidth="1"/>
    <col min="10762" max="10762" width="10.5" style="1" bestFit="1" customWidth="1"/>
    <col min="10763" max="10763" width="18.625" style="1" customWidth="1"/>
    <col min="10764" max="10764" width="14.125" style="1" customWidth="1"/>
    <col min="10765" max="10765" width="3.375" style="1" customWidth="1"/>
    <col min="10766" max="10766" width="12.375" style="1" bestFit="1" customWidth="1"/>
    <col min="10767" max="10767" width="14.875" style="1" customWidth="1"/>
    <col min="10768" max="10768" width="3.875" style="1" customWidth="1"/>
    <col min="10769" max="10769" width="10.375" style="1" customWidth="1"/>
    <col min="10770" max="10771" width="12.625" style="1" bestFit="1" customWidth="1"/>
    <col min="10772" max="10772" width="0.125" style="1" customWidth="1"/>
    <col min="10773" max="10773" width="9" style="1" bestFit="1" customWidth="1"/>
    <col min="10774" max="10774" width="9.125" style="1" customWidth="1"/>
    <col min="10775" max="10775" width="12.625" style="1" bestFit="1" customWidth="1"/>
    <col min="10776" max="10776" width="4.625" style="1" bestFit="1" customWidth="1"/>
    <col min="10777" max="10777" width="8.375" style="1"/>
    <col min="10778" max="10778" width="11.125" style="1" customWidth="1"/>
    <col min="10779" max="10779" width="11.625" style="1" bestFit="1" customWidth="1"/>
    <col min="10780" max="10780" width="11.125" style="1" bestFit="1" customWidth="1"/>
    <col min="10781" max="10781" width="10.625" style="1" bestFit="1" customWidth="1"/>
    <col min="10782" max="10782" width="8" style="1" bestFit="1" customWidth="1"/>
    <col min="10783" max="10783" width="14.875" style="1" bestFit="1" customWidth="1"/>
    <col min="10784" max="11000" width="8.375" style="1"/>
    <col min="11001" max="11001" width="9.625" style="1" bestFit="1" customWidth="1"/>
    <col min="11002" max="11002" width="22.875" style="1" customWidth="1"/>
    <col min="11003" max="11003" width="28.375" style="1" customWidth="1"/>
    <col min="11004" max="11004" width="14" style="1" bestFit="1" customWidth="1"/>
    <col min="11005" max="11007" width="12.625" style="1" customWidth="1"/>
    <col min="11008" max="11008" width="15.375" style="1" customWidth="1"/>
    <col min="11009" max="11009" width="8" style="1" customWidth="1"/>
    <col min="11010" max="11010" width="9.875" style="1" customWidth="1"/>
    <col min="11011" max="11011" width="14.125" style="1" customWidth="1"/>
    <col min="11012" max="11012" width="7.5" style="1" customWidth="1"/>
    <col min="11013" max="11013" width="18.625" style="1" customWidth="1"/>
    <col min="11014" max="11014" width="10.625" style="1" customWidth="1"/>
    <col min="11015" max="11015" width="25" style="1" customWidth="1"/>
    <col min="11016" max="11016" width="13.375" style="1" bestFit="1" customWidth="1"/>
    <col min="11017" max="11017" width="14.5" style="1" customWidth="1"/>
    <col min="11018" max="11018" width="10.5" style="1" bestFit="1" customWidth="1"/>
    <col min="11019" max="11019" width="18.625" style="1" customWidth="1"/>
    <col min="11020" max="11020" width="14.125" style="1" customWidth="1"/>
    <col min="11021" max="11021" width="3.375" style="1" customWidth="1"/>
    <col min="11022" max="11022" width="12.375" style="1" bestFit="1" customWidth="1"/>
    <col min="11023" max="11023" width="14.875" style="1" customWidth="1"/>
    <col min="11024" max="11024" width="3.875" style="1" customWidth="1"/>
    <col min="11025" max="11025" width="10.375" style="1" customWidth="1"/>
    <col min="11026" max="11027" width="12.625" style="1" bestFit="1" customWidth="1"/>
    <col min="11028" max="11028" width="0.125" style="1" customWidth="1"/>
    <col min="11029" max="11029" width="9" style="1" bestFit="1" customWidth="1"/>
    <col min="11030" max="11030" width="9.125" style="1" customWidth="1"/>
    <col min="11031" max="11031" width="12.625" style="1" bestFit="1" customWidth="1"/>
    <col min="11032" max="11032" width="4.625" style="1" bestFit="1" customWidth="1"/>
    <col min="11033" max="11033" width="8.375" style="1"/>
    <col min="11034" max="11034" width="11.125" style="1" customWidth="1"/>
    <col min="11035" max="11035" width="11.625" style="1" bestFit="1" customWidth="1"/>
    <col min="11036" max="11036" width="11.125" style="1" bestFit="1" customWidth="1"/>
    <col min="11037" max="11037" width="10.625" style="1" bestFit="1" customWidth="1"/>
    <col min="11038" max="11038" width="8" style="1" bestFit="1" customWidth="1"/>
    <col min="11039" max="11039" width="14.875" style="1" bestFit="1" customWidth="1"/>
    <col min="11040" max="11256" width="8.375" style="1"/>
    <col min="11257" max="11257" width="9.625" style="1" bestFit="1" customWidth="1"/>
    <col min="11258" max="11258" width="22.875" style="1" customWidth="1"/>
    <col min="11259" max="11259" width="28.375" style="1" customWidth="1"/>
    <col min="11260" max="11260" width="14" style="1" bestFit="1" customWidth="1"/>
    <col min="11261" max="11263" width="12.625" style="1" customWidth="1"/>
    <col min="11264" max="11264" width="15.375" style="1" customWidth="1"/>
    <col min="11265" max="11265" width="8" style="1" customWidth="1"/>
    <col min="11266" max="11266" width="9.875" style="1" customWidth="1"/>
    <col min="11267" max="11267" width="14.125" style="1" customWidth="1"/>
    <col min="11268" max="11268" width="7.5" style="1" customWidth="1"/>
    <col min="11269" max="11269" width="18.625" style="1" customWidth="1"/>
    <col min="11270" max="11270" width="10.625" style="1" customWidth="1"/>
    <col min="11271" max="11271" width="25" style="1" customWidth="1"/>
    <col min="11272" max="11272" width="13.375" style="1" bestFit="1" customWidth="1"/>
    <col min="11273" max="11273" width="14.5" style="1" customWidth="1"/>
    <col min="11274" max="11274" width="10.5" style="1" bestFit="1" customWidth="1"/>
    <col min="11275" max="11275" width="18.625" style="1" customWidth="1"/>
    <col min="11276" max="11276" width="14.125" style="1" customWidth="1"/>
    <col min="11277" max="11277" width="3.375" style="1" customWidth="1"/>
    <col min="11278" max="11278" width="12.375" style="1" bestFit="1" customWidth="1"/>
    <col min="11279" max="11279" width="14.875" style="1" customWidth="1"/>
    <col min="11280" max="11280" width="3.875" style="1" customWidth="1"/>
    <col min="11281" max="11281" width="10.375" style="1" customWidth="1"/>
    <col min="11282" max="11283" width="12.625" style="1" bestFit="1" customWidth="1"/>
    <col min="11284" max="11284" width="0.125" style="1" customWidth="1"/>
    <col min="11285" max="11285" width="9" style="1" bestFit="1" customWidth="1"/>
    <col min="11286" max="11286" width="9.125" style="1" customWidth="1"/>
    <col min="11287" max="11287" width="12.625" style="1" bestFit="1" customWidth="1"/>
    <col min="11288" max="11288" width="4.625" style="1" bestFit="1" customWidth="1"/>
    <col min="11289" max="11289" width="8.375" style="1"/>
    <col min="11290" max="11290" width="11.125" style="1" customWidth="1"/>
    <col min="11291" max="11291" width="11.625" style="1" bestFit="1" customWidth="1"/>
    <col min="11292" max="11292" width="11.125" style="1" bestFit="1" customWidth="1"/>
    <col min="11293" max="11293" width="10.625" style="1" bestFit="1" customWidth="1"/>
    <col min="11294" max="11294" width="8" style="1" bestFit="1" customWidth="1"/>
    <col min="11295" max="11295" width="14.875" style="1" bestFit="1" customWidth="1"/>
    <col min="11296" max="11512" width="8.375" style="1"/>
    <col min="11513" max="11513" width="9.625" style="1" bestFit="1" customWidth="1"/>
    <col min="11514" max="11514" width="22.875" style="1" customWidth="1"/>
    <col min="11515" max="11515" width="28.375" style="1" customWidth="1"/>
    <col min="11516" max="11516" width="14" style="1" bestFit="1" customWidth="1"/>
    <col min="11517" max="11519" width="12.625" style="1" customWidth="1"/>
    <col min="11520" max="11520" width="15.375" style="1" customWidth="1"/>
    <col min="11521" max="11521" width="8" style="1" customWidth="1"/>
    <col min="11522" max="11522" width="9.875" style="1" customWidth="1"/>
    <col min="11523" max="11523" width="14.125" style="1" customWidth="1"/>
    <col min="11524" max="11524" width="7.5" style="1" customWidth="1"/>
    <col min="11525" max="11525" width="18.625" style="1" customWidth="1"/>
    <col min="11526" max="11526" width="10.625" style="1" customWidth="1"/>
    <col min="11527" max="11527" width="25" style="1" customWidth="1"/>
    <col min="11528" max="11528" width="13.375" style="1" bestFit="1" customWidth="1"/>
    <col min="11529" max="11529" width="14.5" style="1" customWidth="1"/>
    <col min="11530" max="11530" width="10.5" style="1" bestFit="1" customWidth="1"/>
    <col min="11531" max="11531" width="18.625" style="1" customWidth="1"/>
    <col min="11532" max="11532" width="14.125" style="1" customWidth="1"/>
    <col min="11533" max="11533" width="3.375" style="1" customWidth="1"/>
    <col min="11534" max="11534" width="12.375" style="1" bestFit="1" customWidth="1"/>
    <col min="11535" max="11535" width="14.875" style="1" customWidth="1"/>
    <col min="11536" max="11536" width="3.875" style="1" customWidth="1"/>
    <col min="11537" max="11537" width="10.375" style="1" customWidth="1"/>
    <col min="11538" max="11539" width="12.625" style="1" bestFit="1" customWidth="1"/>
    <col min="11540" max="11540" width="0.125" style="1" customWidth="1"/>
    <col min="11541" max="11541" width="9" style="1" bestFit="1" customWidth="1"/>
    <col min="11542" max="11542" width="9.125" style="1" customWidth="1"/>
    <col min="11543" max="11543" width="12.625" style="1" bestFit="1" customWidth="1"/>
    <col min="11544" max="11544" width="4.625" style="1" bestFit="1" customWidth="1"/>
    <col min="11545" max="11545" width="8.375" style="1"/>
    <col min="11546" max="11546" width="11.125" style="1" customWidth="1"/>
    <col min="11547" max="11547" width="11.625" style="1" bestFit="1" customWidth="1"/>
    <col min="11548" max="11548" width="11.125" style="1" bestFit="1" customWidth="1"/>
    <col min="11549" max="11549" width="10.625" style="1" bestFit="1" customWidth="1"/>
    <col min="11550" max="11550" width="8" style="1" bestFit="1" customWidth="1"/>
    <col min="11551" max="11551" width="14.875" style="1" bestFit="1" customWidth="1"/>
    <col min="11552" max="11768" width="8.375" style="1"/>
    <col min="11769" max="11769" width="9.625" style="1" bestFit="1" customWidth="1"/>
    <col min="11770" max="11770" width="22.875" style="1" customWidth="1"/>
    <col min="11771" max="11771" width="28.375" style="1" customWidth="1"/>
    <col min="11772" max="11772" width="14" style="1" bestFit="1" customWidth="1"/>
    <col min="11773" max="11775" width="12.625" style="1" customWidth="1"/>
    <col min="11776" max="11776" width="15.375" style="1" customWidth="1"/>
    <col min="11777" max="11777" width="8" style="1" customWidth="1"/>
    <col min="11778" max="11778" width="9.875" style="1" customWidth="1"/>
    <col min="11779" max="11779" width="14.125" style="1" customWidth="1"/>
    <col min="11780" max="11780" width="7.5" style="1" customWidth="1"/>
    <col min="11781" max="11781" width="18.625" style="1" customWidth="1"/>
    <col min="11782" max="11782" width="10.625" style="1" customWidth="1"/>
    <col min="11783" max="11783" width="25" style="1" customWidth="1"/>
    <col min="11784" max="11784" width="13.375" style="1" bestFit="1" customWidth="1"/>
    <col min="11785" max="11785" width="14.5" style="1" customWidth="1"/>
    <col min="11786" max="11786" width="10.5" style="1" bestFit="1" customWidth="1"/>
    <col min="11787" max="11787" width="18.625" style="1" customWidth="1"/>
    <col min="11788" max="11788" width="14.125" style="1" customWidth="1"/>
    <col min="11789" max="11789" width="3.375" style="1" customWidth="1"/>
    <col min="11790" max="11790" width="12.375" style="1" bestFit="1" customWidth="1"/>
    <col min="11791" max="11791" width="14.875" style="1" customWidth="1"/>
    <col min="11792" max="11792" width="3.875" style="1" customWidth="1"/>
    <col min="11793" max="11793" width="10.375" style="1" customWidth="1"/>
    <col min="11794" max="11795" width="12.625" style="1" bestFit="1" customWidth="1"/>
    <col min="11796" max="11796" width="0.125" style="1" customWidth="1"/>
    <col min="11797" max="11797" width="9" style="1" bestFit="1" customWidth="1"/>
    <col min="11798" max="11798" width="9.125" style="1" customWidth="1"/>
    <col min="11799" max="11799" width="12.625" style="1" bestFit="1" customWidth="1"/>
    <col min="11800" max="11800" width="4.625" style="1" bestFit="1" customWidth="1"/>
    <col min="11801" max="11801" width="8.375" style="1"/>
    <col min="11802" max="11802" width="11.125" style="1" customWidth="1"/>
    <col min="11803" max="11803" width="11.625" style="1" bestFit="1" customWidth="1"/>
    <col min="11804" max="11804" width="11.125" style="1" bestFit="1" customWidth="1"/>
    <col min="11805" max="11805" width="10.625" style="1" bestFit="1" customWidth="1"/>
    <col min="11806" max="11806" width="8" style="1" bestFit="1" customWidth="1"/>
    <col min="11807" max="11807" width="14.875" style="1" bestFit="1" customWidth="1"/>
    <col min="11808" max="12024" width="8.375" style="1"/>
    <col min="12025" max="12025" width="9.625" style="1" bestFit="1" customWidth="1"/>
    <col min="12026" max="12026" width="22.875" style="1" customWidth="1"/>
    <col min="12027" max="12027" width="28.375" style="1" customWidth="1"/>
    <col min="12028" max="12028" width="14" style="1" bestFit="1" customWidth="1"/>
    <col min="12029" max="12031" width="12.625" style="1" customWidth="1"/>
    <col min="12032" max="12032" width="15.375" style="1" customWidth="1"/>
    <col min="12033" max="12033" width="8" style="1" customWidth="1"/>
    <col min="12034" max="12034" width="9.875" style="1" customWidth="1"/>
    <col min="12035" max="12035" width="14.125" style="1" customWidth="1"/>
    <col min="12036" max="12036" width="7.5" style="1" customWidth="1"/>
    <col min="12037" max="12037" width="18.625" style="1" customWidth="1"/>
    <col min="12038" max="12038" width="10.625" style="1" customWidth="1"/>
    <col min="12039" max="12039" width="25" style="1" customWidth="1"/>
    <col min="12040" max="12040" width="13.375" style="1" bestFit="1" customWidth="1"/>
    <col min="12041" max="12041" width="14.5" style="1" customWidth="1"/>
    <col min="12042" max="12042" width="10.5" style="1" bestFit="1" customWidth="1"/>
    <col min="12043" max="12043" width="18.625" style="1" customWidth="1"/>
    <col min="12044" max="12044" width="14.125" style="1" customWidth="1"/>
    <col min="12045" max="12045" width="3.375" style="1" customWidth="1"/>
    <col min="12046" max="12046" width="12.375" style="1" bestFit="1" customWidth="1"/>
    <col min="12047" max="12047" width="14.875" style="1" customWidth="1"/>
    <col min="12048" max="12048" width="3.875" style="1" customWidth="1"/>
    <col min="12049" max="12049" width="10.375" style="1" customWidth="1"/>
    <col min="12050" max="12051" width="12.625" style="1" bestFit="1" customWidth="1"/>
    <col min="12052" max="12052" width="0.125" style="1" customWidth="1"/>
    <col min="12053" max="12053" width="9" style="1" bestFit="1" customWidth="1"/>
    <col min="12054" max="12054" width="9.125" style="1" customWidth="1"/>
    <col min="12055" max="12055" width="12.625" style="1" bestFit="1" customWidth="1"/>
    <col min="12056" max="12056" width="4.625" style="1" bestFit="1" customWidth="1"/>
    <col min="12057" max="12057" width="8.375" style="1"/>
    <col min="12058" max="12058" width="11.125" style="1" customWidth="1"/>
    <col min="12059" max="12059" width="11.625" style="1" bestFit="1" customWidth="1"/>
    <col min="12060" max="12060" width="11.125" style="1" bestFit="1" customWidth="1"/>
    <col min="12061" max="12061" width="10.625" style="1" bestFit="1" customWidth="1"/>
    <col min="12062" max="12062" width="8" style="1" bestFit="1" customWidth="1"/>
    <col min="12063" max="12063" width="14.875" style="1" bestFit="1" customWidth="1"/>
    <col min="12064" max="12280" width="8.375" style="1"/>
    <col min="12281" max="12281" width="9.625" style="1" bestFit="1" customWidth="1"/>
    <col min="12282" max="12282" width="22.875" style="1" customWidth="1"/>
    <col min="12283" max="12283" width="28.375" style="1" customWidth="1"/>
    <col min="12284" max="12284" width="14" style="1" bestFit="1" customWidth="1"/>
    <col min="12285" max="12287" width="12.625" style="1" customWidth="1"/>
    <col min="12288" max="12288" width="15.375" style="1" customWidth="1"/>
    <col min="12289" max="12289" width="8" style="1" customWidth="1"/>
    <col min="12290" max="12290" width="9.875" style="1" customWidth="1"/>
    <col min="12291" max="12291" width="14.125" style="1" customWidth="1"/>
    <col min="12292" max="12292" width="7.5" style="1" customWidth="1"/>
    <col min="12293" max="12293" width="18.625" style="1" customWidth="1"/>
    <col min="12294" max="12294" width="10.625" style="1" customWidth="1"/>
    <col min="12295" max="12295" width="25" style="1" customWidth="1"/>
    <col min="12296" max="12296" width="13.375" style="1" bestFit="1" customWidth="1"/>
    <col min="12297" max="12297" width="14.5" style="1" customWidth="1"/>
    <col min="12298" max="12298" width="10.5" style="1" bestFit="1" customWidth="1"/>
    <col min="12299" max="12299" width="18.625" style="1" customWidth="1"/>
    <col min="12300" max="12300" width="14.125" style="1" customWidth="1"/>
    <col min="12301" max="12301" width="3.375" style="1" customWidth="1"/>
    <col min="12302" max="12302" width="12.375" style="1" bestFit="1" customWidth="1"/>
    <col min="12303" max="12303" width="14.875" style="1" customWidth="1"/>
    <col min="12304" max="12304" width="3.875" style="1" customWidth="1"/>
    <col min="12305" max="12305" width="10.375" style="1" customWidth="1"/>
    <col min="12306" max="12307" width="12.625" style="1" bestFit="1" customWidth="1"/>
    <col min="12308" max="12308" width="0.125" style="1" customWidth="1"/>
    <col min="12309" max="12309" width="9" style="1" bestFit="1" customWidth="1"/>
    <col min="12310" max="12310" width="9.125" style="1" customWidth="1"/>
    <col min="12311" max="12311" width="12.625" style="1" bestFit="1" customWidth="1"/>
    <col min="12312" max="12312" width="4.625" style="1" bestFit="1" customWidth="1"/>
    <col min="12313" max="12313" width="8.375" style="1"/>
    <col min="12314" max="12314" width="11.125" style="1" customWidth="1"/>
    <col min="12315" max="12315" width="11.625" style="1" bestFit="1" customWidth="1"/>
    <col min="12316" max="12316" width="11.125" style="1" bestFit="1" customWidth="1"/>
    <col min="12317" max="12317" width="10.625" style="1" bestFit="1" customWidth="1"/>
    <col min="12318" max="12318" width="8" style="1" bestFit="1" customWidth="1"/>
    <col min="12319" max="12319" width="14.875" style="1" bestFit="1" customWidth="1"/>
    <col min="12320" max="12536" width="8.375" style="1"/>
    <col min="12537" max="12537" width="9.625" style="1" bestFit="1" customWidth="1"/>
    <col min="12538" max="12538" width="22.875" style="1" customWidth="1"/>
    <col min="12539" max="12539" width="28.375" style="1" customWidth="1"/>
    <col min="12540" max="12540" width="14" style="1" bestFit="1" customWidth="1"/>
    <col min="12541" max="12543" width="12.625" style="1" customWidth="1"/>
    <col min="12544" max="12544" width="15.375" style="1" customWidth="1"/>
    <col min="12545" max="12545" width="8" style="1" customWidth="1"/>
    <col min="12546" max="12546" width="9.875" style="1" customWidth="1"/>
    <col min="12547" max="12547" width="14.125" style="1" customWidth="1"/>
    <col min="12548" max="12548" width="7.5" style="1" customWidth="1"/>
    <col min="12549" max="12549" width="18.625" style="1" customWidth="1"/>
    <col min="12550" max="12550" width="10.625" style="1" customWidth="1"/>
    <col min="12551" max="12551" width="25" style="1" customWidth="1"/>
    <col min="12552" max="12552" width="13.375" style="1" bestFit="1" customWidth="1"/>
    <col min="12553" max="12553" width="14.5" style="1" customWidth="1"/>
    <col min="12554" max="12554" width="10.5" style="1" bestFit="1" customWidth="1"/>
    <col min="12555" max="12555" width="18.625" style="1" customWidth="1"/>
    <col min="12556" max="12556" width="14.125" style="1" customWidth="1"/>
    <col min="12557" max="12557" width="3.375" style="1" customWidth="1"/>
    <col min="12558" max="12558" width="12.375" style="1" bestFit="1" customWidth="1"/>
    <col min="12559" max="12559" width="14.875" style="1" customWidth="1"/>
    <col min="12560" max="12560" width="3.875" style="1" customWidth="1"/>
    <col min="12561" max="12561" width="10.375" style="1" customWidth="1"/>
    <col min="12562" max="12563" width="12.625" style="1" bestFit="1" customWidth="1"/>
    <col min="12564" max="12564" width="0.125" style="1" customWidth="1"/>
    <col min="12565" max="12565" width="9" style="1" bestFit="1" customWidth="1"/>
    <col min="12566" max="12566" width="9.125" style="1" customWidth="1"/>
    <col min="12567" max="12567" width="12.625" style="1" bestFit="1" customWidth="1"/>
    <col min="12568" max="12568" width="4.625" style="1" bestFit="1" customWidth="1"/>
    <col min="12569" max="12569" width="8.375" style="1"/>
    <col min="12570" max="12570" width="11.125" style="1" customWidth="1"/>
    <col min="12571" max="12571" width="11.625" style="1" bestFit="1" customWidth="1"/>
    <col min="12572" max="12572" width="11.125" style="1" bestFit="1" customWidth="1"/>
    <col min="12573" max="12573" width="10.625" style="1" bestFit="1" customWidth="1"/>
    <col min="12574" max="12574" width="8" style="1" bestFit="1" customWidth="1"/>
    <col min="12575" max="12575" width="14.875" style="1" bestFit="1" customWidth="1"/>
    <col min="12576" max="12792" width="8.375" style="1"/>
    <col min="12793" max="12793" width="9.625" style="1" bestFit="1" customWidth="1"/>
    <col min="12794" max="12794" width="22.875" style="1" customWidth="1"/>
    <col min="12795" max="12795" width="28.375" style="1" customWidth="1"/>
    <col min="12796" max="12796" width="14" style="1" bestFit="1" customWidth="1"/>
    <col min="12797" max="12799" width="12.625" style="1" customWidth="1"/>
    <col min="12800" max="12800" width="15.375" style="1" customWidth="1"/>
    <col min="12801" max="12801" width="8" style="1" customWidth="1"/>
    <col min="12802" max="12802" width="9.875" style="1" customWidth="1"/>
    <col min="12803" max="12803" width="14.125" style="1" customWidth="1"/>
    <col min="12804" max="12804" width="7.5" style="1" customWidth="1"/>
    <col min="12805" max="12805" width="18.625" style="1" customWidth="1"/>
    <col min="12806" max="12806" width="10.625" style="1" customWidth="1"/>
    <col min="12807" max="12807" width="25" style="1" customWidth="1"/>
    <col min="12808" max="12808" width="13.375" style="1" bestFit="1" customWidth="1"/>
    <col min="12809" max="12809" width="14.5" style="1" customWidth="1"/>
    <col min="12810" max="12810" width="10.5" style="1" bestFit="1" customWidth="1"/>
    <col min="12811" max="12811" width="18.625" style="1" customWidth="1"/>
    <col min="12812" max="12812" width="14.125" style="1" customWidth="1"/>
    <col min="12813" max="12813" width="3.375" style="1" customWidth="1"/>
    <col min="12814" max="12814" width="12.375" style="1" bestFit="1" customWidth="1"/>
    <col min="12815" max="12815" width="14.875" style="1" customWidth="1"/>
    <col min="12816" max="12816" width="3.875" style="1" customWidth="1"/>
    <col min="12817" max="12817" width="10.375" style="1" customWidth="1"/>
    <col min="12818" max="12819" width="12.625" style="1" bestFit="1" customWidth="1"/>
    <col min="12820" max="12820" width="0.125" style="1" customWidth="1"/>
    <col min="12821" max="12821" width="9" style="1" bestFit="1" customWidth="1"/>
    <col min="12822" max="12822" width="9.125" style="1" customWidth="1"/>
    <col min="12823" max="12823" width="12.625" style="1" bestFit="1" customWidth="1"/>
    <col min="12824" max="12824" width="4.625" style="1" bestFit="1" customWidth="1"/>
    <col min="12825" max="12825" width="8.375" style="1"/>
    <col min="12826" max="12826" width="11.125" style="1" customWidth="1"/>
    <col min="12827" max="12827" width="11.625" style="1" bestFit="1" customWidth="1"/>
    <col min="12828" max="12828" width="11.125" style="1" bestFit="1" customWidth="1"/>
    <col min="12829" max="12829" width="10.625" style="1" bestFit="1" customWidth="1"/>
    <col min="12830" max="12830" width="8" style="1" bestFit="1" customWidth="1"/>
    <col min="12831" max="12831" width="14.875" style="1" bestFit="1" customWidth="1"/>
    <col min="12832" max="13048" width="8.375" style="1"/>
    <col min="13049" max="13049" width="9.625" style="1" bestFit="1" customWidth="1"/>
    <col min="13050" max="13050" width="22.875" style="1" customWidth="1"/>
    <col min="13051" max="13051" width="28.375" style="1" customWidth="1"/>
    <col min="13052" max="13052" width="14" style="1" bestFit="1" customWidth="1"/>
    <col min="13053" max="13055" width="12.625" style="1" customWidth="1"/>
    <col min="13056" max="13056" width="15.375" style="1" customWidth="1"/>
    <col min="13057" max="13057" width="8" style="1" customWidth="1"/>
    <col min="13058" max="13058" width="9.875" style="1" customWidth="1"/>
    <col min="13059" max="13059" width="14.125" style="1" customWidth="1"/>
    <col min="13060" max="13060" width="7.5" style="1" customWidth="1"/>
    <col min="13061" max="13061" width="18.625" style="1" customWidth="1"/>
    <col min="13062" max="13062" width="10.625" style="1" customWidth="1"/>
    <col min="13063" max="13063" width="25" style="1" customWidth="1"/>
    <col min="13064" max="13064" width="13.375" style="1" bestFit="1" customWidth="1"/>
    <col min="13065" max="13065" width="14.5" style="1" customWidth="1"/>
    <col min="13066" max="13066" width="10.5" style="1" bestFit="1" customWidth="1"/>
    <col min="13067" max="13067" width="18.625" style="1" customWidth="1"/>
    <col min="13068" max="13068" width="14.125" style="1" customWidth="1"/>
    <col min="13069" max="13069" width="3.375" style="1" customWidth="1"/>
    <col min="13070" max="13070" width="12.375" style="1" bestFit="1" customWidth="1"/>
    <col min="13071" max="13071" width="14.875" style="1" customWidth="1"/>
    <col min="13072" max="13072" width="3.875" style="1" customWidth="1"/>
    <col min="13073" max="13073" width="10.375" style="1" customWidth="1"/>
    <col min="13074" max="13075" width="12.625" style="1" bestFit="1" customWidth="1"/>
    <col min="13076" max="13076" width="0.125" style="1" customWidth="1"/>
    <col min="13077" max="13077" width="9" style="1" bestFit="1" customWidth="1"/>
    <col min="13078" max="13078" width="9.125" style="1" customWidth="1"/>
    <col min="13079" max="13079" width="12.625" style="1" bestFit="1" customWidth="1"/>
    <col min="13080" max="13080" width="4.625" style="1" bestFit="1" customWidth="1"/>
    <col min="13081" max="13081" width="8.375" style="1"/>
    <col min="13082" max="13082" width="11.125" style="1" customWidth="1"/>
    <col min="13083" max="13083" width="11.625" style="1" bestFit="1" customWidth="1"/>
    <col min="13084" max="13084" width="11.125" style="1" bestFit="1" customWidth="1"/>
    <col min="13085" max="13085" width="10.625" style="1" bestFit="1" customWidth="1"/>
    <col min="13086" max="13086" width="8" style="1" bestFit="1" customWidth="1"/>
    <col min="13087" max="13087" width="14.875" style="1" bestFit="1" customWidth="1"/>
    <col min="13088" max="13304" width="8.375" style="1"/>
    <col min="13305" max="13305" width="9.625" style="1" bestFit="1" customWidth="1"/>
    <col min="13306" max="13306" width="22.875" style="1" customWidth="1"/>
    <col min="13307" max="13307" width="28.375" style="1" customWidth="1"/>
    <col min="13308" max="13308" width="14" style="1" bestFit="1" customWidth="1"/>
    <col min="13309" max="13311" width="12.625" style="1" customWidth="1"/>
    <col min="13312" max="13312" width="15.375" style="1" customWidth="1"/>
    <col min="13313" max="13313" width="8" style="1" customWidth="1"/>
    <col min="13314" max="13314" width="9.875" style="1" customWidth="1"/>
    <col min="13315" max="13315" width="14.125" style="1" customWidth="1"/>
    <col min="13316" max="13316" width="7.5" style="1" customWidth="1"/>
    <col min="13317" max="13317" width="18.625" style="1" customWidth="1"/>
    <col min="13318" max="13318" width="10.625" style="1" customWidth="1"/>
    <col min="13319" max="13319" width="25" style="1" customWidth="1"/>
    <col min="13320" max="13320" width="13.375" style="1" bestFit="1" customWidth="1"/>
    <col min="13321" max="13321" width="14.5" style="1" customWidth="1"/>
    <col min="13322" max="13322" width="10.5" style="1" bestFit="1" customWidth="1"/>
    <col min="13323" max="13323" width="18.625" style="1" customWidth="1"/>
    <col min="13324" max="13324" width="14.125" style="1" customWidth="1"/>
    <col min="13325" max="13325" width="3.375" style="1" customWidth="1"/>
    <col min="13326" max="13326" width="12.375" style="1" bestFit="1" customWidth="1"/>
    <col min="13327" max="13327" width="14.875" style="1" customWidth="1"/>
    <col min="13328" max="13328" width="3.875" style="1" customWidth="1"/>
    <col min="13329" max="13329" width="10.375" style="1" customWidth="1"/>
    <col min="13330" max="13331" width="12.625" style="1" bestFit="1" customWidth="1"/>
    <col min="13332" max="13332" width="0.125" style="1" customWidth="1"/>
    <col min="13333" max="13333" width="9" style="1" bestFit="1" customWidth="1"/>
    <col min="13334" max="13334" width="9.125" style="1" customWidth="1"/>
    <col min="13335" max="13335" width="12.625" style="1" bestFit="1" customWidth="1"/>
    <col min="13336" max="13336" width="4.625" style="1" bestFit="1" customWidth="1"/>
    <col min="13337" max="13337" width="8.375" style="1"/>
    <col min="13338" max="13338" width="11.125" style="1" customWidth="1"/>
    <col min="13339" max="13339" width="11.625" style="1" bestFit="1" customWidth="1"/>
    <col min="13340" max="13340" width="11.125" style="1" bestFit="1" customWidth="1"/>
    <col min="13341" max="13341" width="10.625" style="1" bestFit="1" customWidth="1"/>
    <col min="13342" max="13342" width="8" style="1" bestFit="1" customWidth="1"/>
    <col min="13343" max="13343" width="14.875" style="1" bestFit="1" customWidth="1"/>
    <col min="13344" max="13560" width="8.375" style="1"/>
    <col min="13561" max="13561" width="9.625" style="1" bestFit="1" customWidth="1"/>
    <col min="13562" max="13562" width="22.875" style="1" customWidth="1"/>
    <col min="13563" max="13563" width="28.375" style="1" customWidth="1"/>
    <col min="13564" max="13564" width="14" style="1" bestFit="1" customWidth="1"/>
    <col min="13565" max="13567" width="12.625" style="1" customWidth="1"/>
    <col min="13568" max="13568" width="15.375" style="1" customWidth="1"/>
    <col min="13569" max="13569" width="8" style="1" customWidth="1"/>
    <col min="13570" max="13570" width="9.875" style="1" customWidth="1"/>
    <col min="13571" max="13571" width="14.125" style="1" customWidth="1"/>
    <col min="13572" max="13572" width="7.5" style="1" customWidth="1"/>
    <col min="13573" max="13573" width="18.625" style="1" customWidth="1"/>
    <col min="13574" max="13574" width="10.625" style="1" customWidth="1"/>
    <col min="13575" max="13575" width="25" style="1" customWidth="1"/>
    <col min="13576" max="13576" width="13.375" style="1" bestFit="1" customWidth="1"/>
    <col min="13577" max="13577" width="14.5" style="1" customWidth="1"/>
    <col min="13578" max="13578" width="10.5" style="1" bestFit="1" customWidth="1"/>
    <col min="13579" max="13579" width="18.625" style="1" customWidth="1"/>
    <col min="13580" max="13580" width="14.125" style="1" customWidth="1"/>
    <col min="13581" max="13581" width="3.375" style="1" customWidth="1"/>
    <col min="13582" max="13582" width="12.375" style="1" bestFit="1" customWidth="1"/>
    <col min="13583" max="13583" width="14.875" style="1" customWidth="1"/>
    <col min="13584" max="13584" width="3.875" style="1" customWidth="1"/>
    <col min="13585" max="13585" width="10.375" style="1" customWidth="1"/>
    <col min="13586" max="13587" width="12.625" style="1" bestFit="1" customWidth="1"/>
    <col min="13588" max="13588" width="0.125" style="1" customWidth="1"/>
    <col min="13589" max="13589" width="9" style="1" bestFit="1" customWidth="1"/>
    <col min="13590" max="13590" width="9.125" style="1" customWidth="1"/>
    <col min="13591" max="13591" width="12.625" style="1" bestFit="1" customWidth="1"/>
    <col min="13592" max="13592" width="4.625" style="1" bestFit="1" customWidth="1"/>
    <col min="13593" max="13593" width="8.375" style="1"/>
    <col min="13594" max="13594" width="11.125" style="1" customWidth="1"/>
    <col min="13595" max="13595" width="11.625" style="1" bestFit="1" customWidth="1"/>
    <col min="13596" max="13596" width="11.125" style="1" bestFit="1" customWidth="1"/>
    <col min="13597" max="13597" width="10.625" style="1" bestFit="1" customWidth="1"/>
    <col min="13598" max="13598" width="8" style="1" bestFit="1" customWidth="1"/>
    <col min="13599" max="13599" width="14.875" style="1" bestFit="1" customWidth="1"/>
    <col min="13600" max="13816" width="8.375" style="1"/>
    <col min="13817" max="13817" width="9.625" style="1" bestFit="1" customWidth="1"/>
    <col min="13818" max="13818" width="22.875" style="1" customWidth="1"/>
    <col min="13819" max="13819" width="28.375" style="1" customWidth="1"/>
    <col min="13820" max="13820" width="14" style="1" bestFit="1" customWidth="1"/>
    <col min="13821" max="13823" width="12.625" style="1" customWidth="1"/>
    <col min="13824" max="13824" width="15.375" style="1" customWidth="1"/>
    <col min="13825" max="13825" width="8" style="1" customWidth="1"/>
    <col min="13826" max="13826" width="9.875" style="1" customWidth="1"/>
    <col min="13827" max="13827" width="14.125" style="1" customWidth="1"/>
    <col min="13828" max="13828" width="7.5" style="1" customWidth="1"/>
    <col min="13829" max="13829" width="18.625" style="1" customWidth="1"/>
    <col min="13830" max="13830" width="10.625" style="1" customWidth="1"/>
    <col min="13831" max="13831" width="25" style="1" customWidth="1"/>
    <col min="13832" max="13832" width="13.375" style="1" bestFit="1" customWidth="1"/>
    <col min="13833" max="13833" width="14.5" style="1" customWidth="1"/>
    <col min="13834" max="13834" width="10.5" style="1" bestFit="1" customWidth="1"/>
    <col min="13835" max="13835" width="18.625" style="1" customWidth="1"/>
    <col min="13836" max="13836" width="14.125" style="1" customWidth="1"/>
    <col min="13837" max="13837" width="3.375" style="1" customWidth="1"/>
    <col min="13838" max="13838" width="12.375" style="1" bestFit="1" customWidth="1"/>
    <col min="13839" max="13839" width="14.875" style="1" customWidth="1"/>
    <col min="13840" max="13840" width="3.875" style="1" customWidth="1"/>
    <col min="13841" max="13841" width="10.375" style="1" customWidth="1"/>
    <col min="13842" max="13843" width="12.625" style="1" bestFit="1" customWidth="1"/>
    <col min="13844" max="13844" width="0.125" style="1" customWidth="1"/>
    <col min="13845" max="13845" width="9" style="1" bestFit="1" customWidth="1"/>
    <col min="13846" max="13846" width="9.125" style="1" customWidth="1"/>
    <col min="13847" max="13847" width="12.625" style="1" bestFit="1" customWidth="1"/>
    <col min="13848" max="13848" width="4.625" style="1" bestFit="1" customWidth="1"/>
    <col min="13849" max="13849" width="8.375" style="1"/>
    <col min="13850" max="13850" width="11.125" style="1" customWidth="1"/>
    <col min="13851" max="13851" width="11.625" style="1" bestFit="1" customWidth="1"/>
    <col min="13852" max="13852" width="11.125" style="1" bestFit="1" customWidth="1"/>
    <col min="13853" max="13853" width="10.625" style="1" bestFit="1" customWidth="1"/>
    <col min="13854" max="13854" width="8" style="1" bestFit="1" customWidth="1"/>
    <col min="13855" max="13855" width="14.875" style="1" bestFit="1" customWidth="1"/>
    <col min="13856" max="14072" width="8.375" style="1"/>
    <col min="14073" max="14073" width="9.625" style="1" bestFit="1" customWidth="1"/>
    <col min="14074" max="14074" width="22.875" style="1" customWidth="1"/>
    <col min="14075" max="14075" width="28.375" style="1" customWidth="1"/>
    <col min="14076" max="14076" width="14" style="1" bestFit="1" customWidth="1"/>
    <col min="14077" max="14079" width="12.625" style="1" customWidth="1"/>
    <col min="14080" max="14080" width="15.375" style="1" customWidth="1"/>
    <col min="14081" max="14081" width="8" style="1" customWidth="1"/>
    <col min="14082" max="14082" width="9.875" style="1" customWidth="1"/>
    <col min="14083" max="14083" width="14.125" style="1" customWidth="1"/>
    <col min="14084" max="14084" width="7.5" style="1" customWidth="1"/>
    <col min="14085" max="14085" width="18.625" style="1" customWidth="1"/>
    <col min="14086" max="14086" width="10.625" style="1" customWidth="1"/>
    <col min="14087" max="14087" width="25" style="1" customWidth="1"/>
    <col min="14088" max="14088" width="13.375" style="1" bestFit="1" customWidth="1"/>
    <col min="14089" max="14089" width="14.5" style="1" customWidth="1"/>
    <col min="14090" max="14090" width="10.5" style="1" bestFit="1" customWidth="1"/>
    <col min="14091" max="14091" width="18.625" style="1" customWidth="1"/>
    <col min="14092" max="14092" width="14.125" style="1" customWidth="1"/>
    <col min="14093" max="14093" width="3.375" style="1" customWidth="1"/>
    <col min="14094" max="14094" width="12.375" style="1" bestFit="1" customWidth="1"/>
    <col min="14095" max="14095" width="14.875" style="1" customWidth="1"/>
    <col min="14096" max="14096" width="3.875" style="1" customWidth="1"/>
    <col min="14097" max="14097" width="10.375" style="1" customWidth="1"/>
    <col min="14098" max="14099" width="12.625" style="1" bestFit="1" customWidth="1"/>
    <col min="14100" max="14100" width="0.125" style="1" customWidth="1"/>
    <col min="14101" max="14101" width="9" style="1" bestFit="1" customWidth="1"/>
    <col min="14102" max="14102" width="9.125" style="1" customWidth="1"/>
    <col min="14103" max="14103" width="12.625" style="1" bestFit="1" customWidth="1"/>
    <col min="14104" max="14104" width="4.625" style="1" bestFit="1" customWidth="1"/>
    <col min="14105" max="14105" width="8.375" style="1"/>
    <col min="14106" max="14106" width="11.125" style="1" customWidth="1"/>
    <col min="14107" max="14107" width="11.625" style="1" bestFit="1" customWidth="1"/>
    <col min="14108" max="14108" width="11.125" style="1" bestFit="1" customWidth="1"/>
    <col min="14109" max="14109" width="10.625" style="1" bestFit="1" customWidth="1"/>
    <col min="14110" max="14110" width="8" style="1" bestFit="1" customWidth="1"/>
    <col min="14111" max="14111" width="14.875" style="1" bestFit="1" customWidth="1"/>
    <col min="14112" max="14328" width="8.375" style="1"/>
    <col min="14329" max="14329" width="9.625" style="1" bestFit="1" customWidth="1"/>
    <col min="14330" max="14330" width="22.875" style="1" customWidth="1"/>
    <col min="14331" max="14331" width="28.375" style="1" customWidth="1"/>
    <col min="14332" max="14332" width="14" style="1" bestFit="1" customWidth="1"/>
    <col min="14333" max="14335" width="12.625" style="1" customWidth="1"/>
    <col min="14336" max="14336" width="15.375" style="1" customWidth="1"/>
    <col min="14337" max="14337" width="8" style="1" customWidth="1"/>
    <col min="14338" max="14338" width="9.875" style="1" customWidth="1"/>
    <col min="14339" max="14339" width="14.125" style="1" customWidth="1"/>
    <col min="14340" max="14340" width="7.5" style="1" customWidth="1"/>
    <col min="14341" max="14341" width="18.625" style="1" customWidth="1"/>
    <col min="14342" max="14342" width="10.625" style="1" customWidth="1"/>
    <col min="14343" max="14343" width="25" style="1" customWidth="1"/>
    <col min="14344" max="14344" width="13.375" style="1" bestFit="1" customWidth="1"/>
    <col min="14345" max="14345" width="14.5" style="1" customWidth="1"/>
    <col min="14346" max="14346" width="10.5" style="1" bestFit="1" customWidth="1"/>
    <col min="14347" max="14347" width="18.625" style="1" customWidth="1"/>
    <col min="14348" max="14348" width="14.125" style="1" customWidth="1"/>
    <col min="14349" max="14349" width="3.375" style="1" customWidth="1"/>
    <col min="14350" max="14350" width="12.375" style="1" bestFit="1" customWidth="1"/>
    <col min="14351" max="14351" width="14.875" style="1" customWidth="1"/>
    <col min="14352" max="14352" width="3.875" style="1" customWidth="1"/>
    <col min="14353" max="14353" width="10.375" style="1" customWidth="1"/>
    <col min="14354" max="14355" width="12.625" style="1" bestFit="1" customWidth="1"/>
    <col min="14356" max="14356" width="0.125" style="1" customWidth="1"/>
    <col min="14357" max="14357" width="9" style="1" bestFit="1" customWidth="1"/>
    <col min="14358" max="14358" width="9.125" style="1" customWidth="1"/>
    <col min="14359" max="14359" width="12.625" style="1" bestFit="1" customWidth="1"/>
    <col min="14360" max="14360" width="4.625" style="1" bestFit="1" customWidth="1"/>
    <col min="14361" max="14361" width="8.375" style="1"/>
    <col min="14362" max="14362" width="11.125" style="1" customWidth="1"/>
    <col min="14363" max="14363" width="11.625" style="1" bestFit="1" customWidth="1"/>
    <col min="14364" max="14364" width="11.125" style="1" bestFit="1" customWidth="1"/>
    <col min="14365" max="14365" width="10.625" style="1" bestFit="1" customWidth="1"/>
    <col min="14366" max="14366" width="8" style="1" bestFit="1" customWidth="1"/>
    <col min="14367" max="14367" width="14.875" style="1" bestFit="1" customWidth="1"/>
    <col min="14368" max="14584" width="8.375" style="1"/>
    <col min="14585" max="14585" width="9.625" style="1" bestFit="1" customWidth="1"/>
    <col min="14586" max="14586" width="22.875" style="1" customWidth="1"/>
    <col min="14587" max="14587" width="28.375" style="1" customWidth="1"/>
    <col min="14588" max="14588" width="14" style="1" bestFit="1" customWidth="1"/>
    <col min="14589" max="14591" width="12.625" style="1" customWidth="1"/>
    <col min="14592" max="14592" width="15.375" style="1" customWidth="1"/>
    <col min="14593" max="14593" width="8" style="1" customWidth="1"/>
    <col min="14594" max="14594" width="9.875" style="1" customWidth="1"/>
    <col min="14595" max="14595" width="14.125" style="1" customWidth="1"/>
    <col min="14596" max="14596" width="7.5" style="1" customWidth="1"/>
    <col min="14597" max="14597" width="18.625" style="1" customWidth="1"/>
    <col min="14598" max="14598" width="10.625" style="1" customWidth="1"/>
    <col min="14599" max="14599" width="25" style="1" customWidth="1"/>
    <col min="14600" max="14600" width="13.375" style="1" bestFit="1" customWidth="1"/>
    <col min="14601" max="14601" width="14.5" style="1" customWidth="1"/>
    <col min="14602" max="14602" width="10.5" style="1" bestFit="1" customWidth="1"/>
    <col min="14603" max="14603" width="18.625" style="1" customWidth="1"/>
    <col min="14604" max="14604" width="14.125" style="1" customWidth="1"/>
    <col min="14605" max="14605" width="3.375" style="1" customWidth="1"/>
    <col min="14606" max="14606" width="12.375" style="1" bestFit="1" customWidth="1"/>
    <col min="14607" max="14607" width="14.875" style="1" customWidth="1"/>
    <col min="14608" max="14608" width="3.875" style="1" customWidth="1"/>
    <col min="14609" max="14609" width="10.375" style="1" customWidth="1"/>
    <col min="14610" max="14611" width="12.625" style="1" bestFit="1" customWidth="1"/>
    <col min="14612" max="14612" width="0.125" style="1" customWidth="1"/>
    <col min="14613" max="14613" width="9" style="1" bestFit="1" customWidth="1"/>
    <col min="14614" max="14614" width="9.125" style="1" customWidth="1"/>
    <col min="14615" max="14615" width="12.625" style="1" bestFit="1" customWidth="1"/>
    <col min="14616" max="14616" width="4.625" style="1" bestFit="1" customWidth="1"/>
    <col min="14617" max="14617" width="8.375" style="1"/>
    <col min="14618" max="14618" width="11.125" style="1" customWidth="1"/>
    <col min="14619" max="14619" width="11.625" style="1" bestFit="1" customWidth="1"/>
    <col min="14620" max="14620" width="11.125" style="1" bestFit="1" customWidth="1"/>
    <col min="14621" max="14621" width="10.625" style="1" bestFit="1" customWidth="1"/>
    <col min="14622" max="14622" width="8" style="1" bestFit="1" customWidth="1"/>
    <col min="14623" max="14623" width="14.875" style="1" bestFit="1" customWidth="1"/>
    <col min="14624" max="14840" width="8.375" style="1"/>
    <col min="14841" max="14841" width="9.625" style="1" bestFit="1" customWidth="1"/>
    <col min="14842" max="14842" width="22.875" style="1" customWidth="1"/>
    <col min="14843" max="14843" width="28.375" style="1" customWidth="1"/>
    <col min="14844" max="14844" width="14" style="1" bestFit="1" customWidth="1"/>
    <col min="14845" max="14847" width="12.625" style="1" customWidth="1"/>
    <col min="14848" max="14848" width="15.375" style="1" customWidth="1"/>
    <col min="14849" max="14849" width="8" style="1" customWidth="1"/>
    <col min="14850" max="14850" width="9.875" style="1" customWidth="1"/>
    <col min="14851" max="14851" width="14.125" style="1" customWidth="1"/>
    <col min="14852" max="14852" width="7.5" style="1" customWidth="1"/>
    <col min="14853" max="14853" width="18.625" style="1" customWidth="1"/>
    <col min="14854" max="14854" width="10.625" style="1" customWidth="1"/>
    <col min="14855" max="14855" width="25" style="1" customWidth="1"/>
    <col min="14856" max="14856" width="13.375" style="1" bestFit="1" customWidth="1"/>
    <col min="14857" max="14857" width="14.5" style="1" customWidth="1"/>
    <col min="14858" max="14858" width="10.5" style="1" bestFit="1" customWidth="1"/>
    <col min="14859" max="14859" width="18.625" style="1" customWidth="1"/>
    <col min="14860" max="14860" width="14.125" style="1" customWidth="1"/>
    <col min="14861" max="14861" width="3.375" style="1" customWidth="1"/>
    <col min="14862" max="14862" width="12.375" style="1" bestFit="1" customWidth="1"/>
    <col min="14863" max="14863" width="14.875" style="1" customWidth="1"/>
    <col min="14864" max="14864" width="3.875" style="1" customWidth="1"/>
    <col min="14865" max="14865" width="10.375" style="1" customWidth="1"/>
    <col min="14866" max="14867" width="12.625" style="1" bestFit="1" customWidth="1"/>
    <col min="14868" max="14868" width="0.125" style="1" customWidth="1"/>
    <col min="14869" max="14869" width="9" style="1" bestFit="1" customWidth="1"/>
    <col min="14870" max="14870" width="9.125" style="1" customWidth="1"/>
    <col min="14871" max="14871" width="12.625" style="1" bestFit="1" customWidth="1"/>
    <col min="14872" max="14872" width="4.625" style="1" bestFit="1" customWidth="1"/>
    <col min="14873" max="14873" width="8.375" style="1"/>
    <col min="14874" max="14874" width="11.125" style="1" customWidth="1"/>
    <col min="14875" max="14875" width="11.625" style="1" bestFit="1" customWidth="1"/>
    <col min="14876" max="14876" width="11.125" style="1" bestFit="1" customWidth="1"/>
    <col min="14877" max="14877" width="10.625" style="1" bestFit="1" customWidth="1"/>
    <col min="14878" max="14878" width="8" style="1" bestFit="1" customWidth="1"/>
    <col min="14879" max="14879" width="14.875" style="1" bestFit="1" customWidth="1"/>
    <col min="14880" max="15096" width="8.375" style="1"/>
    <col min="15097" max="15097" width="9.625" style="1" bestFit="1" customWidth="1"/>
    <col min="15098" max="15098" width="22.875" style="1" customWidth="1"/>
    <col min="15099" max="15099" width="28.375" style="1" customWidth="1"/>
    <col min="15100" max="15100" width="14" style="1" bestFit="1" customWidth="1"/>
    <col min="15101" max="15103" width="12.625" style="1" customWidth="1"/>
    <col min="15104" max="15104" width="15.375" style="1" customWidth="1"/>
    <col min="15105" max="15105" width="8" style="1" customWidth="1"/>
    <col min="15106" max="15106" width="9.875" style="1" customWidth="1"/>
    <col min="15107" max="15107" width="14.125" style="1" customWidth="1"/>
    <col min="15108" max="15108" width="7.5" style="1" customWidth="1"/>
    <col min="15109" max="15109" width="18.625" style="1" customWidth="1"/>
    <col min="15110" max="15110" width="10.625" style="1" customWidth="1"/>
    <col min="15111" max="15111" width="25" style="1" customWidth="1"/>
    <col min="15112" max="15112" width="13.375" style="1" bestFit="1" customWidth="1"/>
    <col min="15113" max="15113" width="14.5" style="1" customWidth="1"/>
    <col min="15114" max="15114" width="10.5" style="1" bestFit="1" customWidth="1"/>
    <col min="15115" max="15115" width="18.625" style="1" customWidth="1"/>
    <col min="15116" max="15116" width="14.125" style="1" customWidth="1"/>
    <col min="15117" max="15117" width="3.375" style="1" customWidth="1"/>
    <col min="15118" max="15118" width="12.375" style="1" bestFit="1" customWidth="1"/>
    <col min="15119" max="15119" width="14.875" style="1" customWidth="1"/>
    <col min="15120" max="15120" width="3.875" style="1" customWidth="1"/>
    <col min="15121" max="15121" width="10.375" style="1" customWidth="1"/>
    <col min="15122" max="15123" width="12.625" style="1" bestFit="1" customWidth="1"/>
    <col min="15124" max="15124" width="0.125" style="1" customWidth="1"/>
    <col min="15125" max="15125" width="9" style="1" bestFit="1" customWidth="1"/>
    <col min="15126" max="15126" width="9.125" style="1" customWidth="1"/>
    <col min="15127" max="15127" width="12.625" style="1" bestFit="1" customWidth="1"/>
    <col min="15128" max="15128" width="4.625" style="1" bestFit="1" customWidth="1"/>
    <col min="15129" max="15129" width="8.375" style="1"/>
    <col min="15130" max="15130" width="11.125" style="1" customWidth="1"/>
    <col min="15131" max="15131" width="11.625" style="1" bestFit="1" customWidth="1"/>
    <col min="15132" max="15132" width="11.125" style="1" bestFit="1" customWidth="1"/>
    <col min="15133" max="15133" width="10.625" style="1" bestFit="1" customWidth="1"/>
    <col min="15134" max="15134" width="8" style="1" bestFit="1" customWidth="1"/>
    <col min="15135" max="15135" width="14.875" style="1" bestFit="1" customWidth="1"/>
    <col min="15136" max="15352" width="8.375" style="1"/>
    <col min="15353" max="15353" width="9.625" style="1" bestFit="1" customWidth="1"/>
    <col min="15354" max="15354" width="22.875" style="1" customWidth="1"/>
    <col min="15355" max="15355" width="28.375" style="1" customWidth="1"/>
    <col min="15356" max="15356" width="14" style="1" bestFit="1" customWidth="1"/>
    <col min="15357" max="15359" width="12.625" style="1" customWidth="1"/>
    <col min="15360" max="15360" width="15.375" style="1" customWidth="1"/>
    <col min="15361" max="15361" width="8" style="1" customWidth="1"/>
    <col min="15362" max="15362" width="9.875" style="1" customWidth="1"/>
    <col min="15363" max="15363" width="14.125" style="1" customWidth="1"/>
    <col min="15364" max="15364" width="7.5" style="1" customWidth="1"/>
    <col min="15365" max="15365" width="18.625" style="1" customWidth="1"/>
    <col min="15366" max="15366" width="10.625" style="1" customWidth="1"/>
    <col min="15367" max="15367" width="25" style="1" customWidth="1"/>
    <col min="15368" max="15368" width="13.375" style="1" bestFit="1" customWidth="1"/>
    <col min="15369" max="15369" width="14.5" style="1" customWidth="1"/>
    <col min="15370" max="15370" width="10.5" style="1" bestFit="1" customWidth="1"/>
    <col min="15371" max="15371" width="18.625" style="1" customWidth="1"/>
    <col min="15372" max="15372" width="14.125" style="1" customWidth="1"/>
    <col min="15373" max="15373" width="3.375" style="1" customWidth="1"/>
    <col min="15374" max="15374" width="12.375" style="1" bestFit="1" customWidth="1"/>
    <col min="15375" max="15375" width="14.875" style="1" customWidth="1"/>
    <col min="15376" max="15376" width="3.875" style="1" customWidth="1"/>
    <col min="15377" max="15377" width="10.375" style="1" customWidth="1"/>
    <col min="15378" max="15379" width="12.625" style="1" bestFit="1" customWidth="1"/>
    <col min="15380" max="15380" width="0.125" style="1" customWidth="1"/>
    <col min="15381" max="15381" width="9" style="1" bestFit="1" customWidth="1"/>
    <col min="15382" max="15382" width="9.125" style="1" customWidth="1"/>
    <col min="15383" max="15383" width="12.625" style="1" bestFit="1" customWidth="1"/>
    <col min="15384" max="15384" width="4.625" style="1" bestFit="1" customWidth="1"/>
    <col min="15385" max="15385" width="8.375" style="1"/>
    <col min="15386" max="15386" width="11.125" style="1" customWidth="1"/>
    <col min="15387" max="15387" width="11.625" style="1" bestFit="1" customWidth="1"/>
    <col min="15388" max="15388" width="11.125" style="1" bestFit="1" customWidth="1"/>
    <col min="15389" max="15389" width="10.625" style="1" bestFit="1" customWidth="1"/>
    <col min="15390" max="15390" width="8" style="1" bestFit="1" customWidth="1"/>
    <col min="15391" max="15391" width="14.875" style="1" bestFit="1" customWidth="1"/>
    <col min="15392" max="15608" width="8.375" style="1"/>
    <col min="15609" max="15609" width="9.625" style="1" bestFit="1" customWidth="1"/>
    <col min="15610" max="15610" width="22.875" style="1" customWidth="1"/>
    <col min="15611" max="15611" width="28.375" style="1" customWidth="1"/>
    <col min="15612" max="15612" width="14" style="1" bestFit="1" customWidth="1"/>
    <col min="15613" max="15615" width="12.625" style="1" customWidth="1"/>
    <col min="15616" max="15616" width="15.375" style="1" customWidth="1"/>
    <col min="15617" max="15617" width="8" style="1" customWidth="1"/>
    <col min="15618" max="15618" width="9.875" style="1" customWidth="1"/>
    <col min="15619" max="15619" width="14.125" style="1" customWidth="1"/>
    <col min="15620" max="15620" width="7.5" style="1" customWidth="1"/>
    <col min="15621" max="15621" width="18.625" style="1" customWidth="1"/>
    <col min="15622" max="15622" width="10.625" style="1" customWidth="1"/>
    <col min="15623" max="15623" width="25" style="1" customWidth="1"/>
    <col min="15624" max="15624" width="13.375" style="1" bestFit="1" customWidth="1"/>
    <col min="15625" max="15625" width="14.5" style="1" customWidth="1"/>
    <col min="15626" max="15626" width="10.5" style="1" bestFit="1" customWidth="1"/>
    <col min="15627" max="15627" width="18.625" style="1" customWidth="1"/>
    <col min="15628" max="15628" width="14.125" style="1" customWidth="1"/>
    <col min="15629" max="15629" width="3.375" style="1" customWidth="1"/>
    <col min="15630" max="15630" width="12.375" style="1" bestFit="1" customWidth="1"/>
    <col min="15631" max="15631" width="14.875" style="1" customWidth="1"/>
    <col min="15632" max="15632" width="3.875" style="1" customWidth="1"/>
    <col min="15633" max="15633" width="10.375" style="1" customWidth="1"/>
    <col min="15634" max="15635" width="12.625" style="1" bestFit="1" customWidth="1"/>
    <col min="15636" max="15636" width="0.125" style="1" customWidth="1"/>
    <col min="15637" max="15637" width="9" style="1" bestFit="1" customWidth="1"/>
    <col min="15638" max="15638" width="9.125" style="1" customWidth="1"/>
    <col min="15639" max="15639" width="12.625" style="1" bestFit="1" customWidth="1"/>
    <col min="15640" max="15640" width="4.625" style="1" bestFit="1" customWidth="1"/>
    <col min="15641" max="15641" width="8.375" style="1"/>
    <col min="15642" max="15642" width="11.125" style="1" customWidth="1"/>
    <col min="15643" max="15643" width="11.625" style="1" bestFit="1" customWidth="1"/>
    <col min="15644" max="15644" width="11.125" style="1" bestFit="1" customWidth="1"/>
    <col min="15645" max="15645" width="10.625" style="1" bestFit="1" customWidth="1"/>
    <col min="15646" max="15646" width="8" style="1" bestFit="1" customWidth="1"/>
    <col min="15647" max="15647" width="14.875" style="1" bestFit="1" customWidth="1"/>
    <col min="15648" max="15864" width="8.375" style="1"/>
    <col min="15865" max="15865" width="9.625" style="1" bestFit="1" customWidth="1"/>
    <col min="15866" max="15866" width="22.875" style="1" customWidth="1"/>
    <col min="15867" max="15867" width="28.375" style="1" customWidth="1"/>
    <col min="15868" max="15868" width="14" style="1" bestFit="1" customWidth="1"/>
    <col min="15869" max="15871" width="12.625" style="1" customWidth="1"/>
    <col min="15872" max="15872" width="15.375" style="1" customWidth="1"/>
    <col min="15873" max="15873" width="8" style="1" customWidth="1"/>
    <col min="15874" max="15874" width="9.875" style="1" customWidth="1"/>
    <col min="15875" max="15875" width="14.125" style="1" customWidth="1"/>
    <col min="15876" max="15876" width="7.5" style="1" customWidth="1"/>
    <col min="15877" max="15877" width="18.625" style="1" customWidth="1"/>
    <col min="15878" max="15878" width="10.625" style="1" customWidth="1"/>
    <col min="15879" max="15879" width="25" style="1" customWidth="1"/>
    <col min="15880" max="15880" width="13.375" style="1" bestFit="1" customWidth="1"/>
    <col min="15881" max="15881" width="14.5" style="1" customWidth="1"/>
    <col min="15882" max="15882" width="10.5" style="1" bestFit="1" customWidth="1"/>
    <col min="15883" max="15883" width="18.625" style="1" customWidth="1"/>
    <col min="15884" max="15884" width="14.125" style="1" customWidth="1"/>
    <col min="15885" max="15885" width="3.375" style="1" customWidth="1"/>
    <col min="15886" max="15886" width="12.375" style="1" bestFit="1" customWidth="1"/>
    <col min="15887" max="15887" width="14.875" style="1" customWidth="1"/>
    <col min="15888" max="15888" width="3.875" style="1" customWidth="1"/>
    <col min="15889" max="15889" width="10.375" style="1" customWidth="1"/>
    <col min="15890" max="15891" width="12.625" style="1" bestFit="1" customWidth="1"/>
    <col min="15892" max="15892" width="0.125" style="1" customWidth="1"/>
    <col min="15893" max="15893" width="9" style="1" bestFit="1" customWidth="1"/>
    <col min="15894" max="15894" width="9.125" style="1" customWidth="1"/>
    <col min="15895" max="15895" width="12.625" style="1" bestFit="1" customWidth="1"/>
    <col min="15896" max="15896" width="4.625" style="1" bestFit="1" customWidth="1"/>
    <col min="15897" max="15897" width="8.375" style="1"/>
    <col min="15898" max="15898" width="11.125" style="1" customWidth="1"/>
    <col min="15899" max="15899" width="11.625" style="1" bestFit="1" customWidth="1"/>
    <col min="15900" max="15900" width="11.125" style="1" bestFit="1" customWidth="1"/>
    <col min="15901" max="15901" width="10.625" style="1" bestFit="1" customWidth="1"/>
    <col min="15902" max="15902" width="8" style="1" bestFit="1" customWidth="1"/>
    <col min="15903" max="15903" width="14.875" style="1" bestFit="1" customWidth="1"/>
    <col min="15904" max="16120" width="8.375" style="1"/>
    <col min="16121" max="16121" width="9.625" style="1" bestFit="1" customWidth="1"/>
    <col min="16122" max="16122" width="22.875" style="1" customWidth="1"/>
    <col min="16123" max="16123" width="28.375" style="1" customWidth="1"/>
    <col min="16124" max="16124" width="14" style="1" bestFit="1" customWidth="1"/>
    <col min="16125" max="16127" width="12.625" style="1" customWidth="1"/>
    <col min="16128" max="16128" width="15.375" style="1" customWidth="1"/>
    <col min="16129" max="16129" width="8" style="1" customWidth="1"/>
    <col min="16130" max="16130" width="9.875" style="1" customWidth="1"/>
    <col min="16131" max="16131" width="14.125" style="1" customWidth="1"/>
    <col min="16132" max="16132" width="7.5" style="1" customWidth="1"/>
    <col min="16133" max="16133" width="18.625" style="1" customWidth="1"/>
    <col min="16134" max="16134" width="10.625" style="1" customWidth="1"/>
    <col min="16135" max="16135" width="25" style="1" customWidth="1"/>
    <col min="16136" max="16136" width="13.375" style="1" bestFit="1" customWidth="1"/>
    <col min="16137" max="16137" width="14.5" style="1" customWidth="1"/>
    <col min="16138" max="16138" width="10.5" style="1" bestFit="1" customWidth="1"/>
    <col min="16139" max="16139" width="18.625" style="1" customWidth="1"/>
    <col min="16140" max="16140" width="14.125" style="1" customWidth="1"/>
    <col min="16141" max="16141" width="3.375" style="1" customWidth="1"/>
    <col min="16142" max="16142" width="12.375" style="1" bestFit="1" customWidth="1"/>
    <col min="16143" max="16143" width="14.875" style="1" customWidth="1"/>
    <col min="16144" max="16144" width="3.875" style="1" customWidth="1"/>
    <col min="16145" max="16145" width="10.375" style="1" customWidth="1"/>
    <col min="16146" max="16147" width="12.625" style="1" bestFit="1" customWidth="1"/>
    <col min="16148" max="16148" width="0.125" style="1" customWidth="1"/>
    <col min="16149" max="16149" width="9" style="1" bestFit="1" customWidth="1"/>
    <col min="16150" max="16150" width="9.125" style="1" customWidth="1"/>
    <col min="16151" max="16151" width="12.625" style="1" bestFit="1" customWidth="1"/>
    <col min="16152" max="16152" width="4.625" style="1" bestFit="1" customWidth="1"/>
    <col min="16153" max="16153" width="8.375" style="1"/>
    <col min="16154" max="16154" width="11.125" style="1" customWidth="1"/>
    <col min="16155" max="16155" width="11.625" style="1" bestFit="1" customWidth="1"/>
    <col min="16156" max="16156" width="11.125" style="1" bestFit="1" customWidth="1"/>
    <col min="16157" max="16157" width="10.625" style="1" bestFit="1" customWidth="1"/>
    <col min="16158" max="16158" width="8" style="1" bestFit="1" customWidth="1"/>
    <col min="16159" max="16159" width="14.875" style="1" bestFit="1" customWidth="1"/>
    <col min="16160" max="16384" width="8.375" style="1"/>
  </cols>
  <sheetData>
    <row r="1" spans="1:31">
      <c r="P1" s="3"/>
      <c r="Q1" s="3"/>
      <c r="R1" s="3"/>
    </row>
    <row r="2" spans="1:31">
      <c r="E2" s="75" t="s">
        <v>20</v>
      </c>
      <c r="F2" s="76"/>
      <c r="G2" s="76"/>
      <c r="H2" s="76"/>
      <c r="I2" s="76"/>
      <c r="J2" s="76"/>
      <c r="K2" s="76"/>
      <c r="L2" s="76"/>
      <c r="M2" s="76"/>
      <c r="N2" s="76"/>
      <c r="O2" s="76"/>
      <c r="P2" s="76"/>
      <c r="Q2" s="76"/>
      <c r="R2" s="77"/>
    </row>
    <row r="3" spans="1:31">
      <c r="E3" s="78"/>
      <c r="F3" s="79"/>
      <c r="G3" s="79"/>
      <c r="H3" s="79"/>
      <c r="I3" s="79"/>
      <c r="J3" s="79"/>
      <c r="K3" s="79"/>
      <c r="L3" s="79"/>
      <c r="M3" s="79"/>
      <c r="N3" s="79"/>
      <c r="O3" s="79"/>
      <c r="P3" s="79"/>
      <c r="Q3" s="79"/>
      <c r="R3" s="80"/>
    </row>
    <row r="4" spans="1:31" ht="14.45" thickBot="1">
      <c r="E4" s="78"/>
      <c r="F4" s="79"/>
      <c r="G4" s="79"/>
      <c r="H4" s="79"/>
      <c r="I4" s="79"/>
      <c r="J4" s="79"/>
      <c r="K4" s="79"/>
      <c r="L4" s="79"/>
      <c r="M4" s="79"/>
      <c r="N4" s="79"/>
      <c r="O4" s="79"/>
      <c r="P4" s="79"/>
      <c r="Q4" s="79"/>
      <c r="R4" s="80"/>
    </row>
    <row r="5" spans="1:31" ht="14.45" thickBot="1">
      <c r="B5" s="4" t="s">
        <v>21</v>
      </c>
      <c r="C5" s="5">
        <v>44043</v>
      </c>
      <c r="E5" s="81"/>
      <c r="F5" s="82"/>
      <c r="G5" s="82"/>
      <c r="H5" s="82"/>
      <c r="I5" s="82"/>
      <c r="J5" s="82"/>
      <c r="K5" s="82"/>
      <c r="L5" s="82"/>
      <c r="M5" s="82"/>
      <c r="N5" s="82"/>
      <c r="O5" s="82"/>
      <c r="P5" s="82"/>
      <c r="Q5" s="82"/>
      <c r="R5" s="83"/>
    </row>
    <row r="6" spans="1:31" ht="14.1" customHeight="1">
      <c r="P6" s="3"/>
      <c r="Q6" s="3"/>
      <c r="R6" s="3"/>
      <c r="T6" s="85" t="s">
        <v>22</v>
      </c>
      <c r="U6" s="85"/>
      <c r="V6" s="85"/>
      <c r="W6" s="85"/>
      <c r="X6" s="85"/>
      <c r="Z6" s="84" t="s">
        <v>23</v>
      </c>
      <c r="AA6" s="84"/>
      <c r="AB6" s="84"/>
      <c r="AC6" s="84"/>
      <c r="AD6" s="84"/>
      <c r="AE6" s="84"/>
    </row>
    <row r="7" spans="1:31" ht="44.25" customHeight="1" thickBot="1">
      <c r="A7" s="1" t="s">
        <v>24</v>
      </c>
      <c r="B7" s="7" t="s">
        <v>25</v>
      </c>
      <c r="C7" s="7" t="s">
        <v>26</v>
      </c>
      <c r="D7" s="7" t="s">
        <v>27</v>
      </c>
      <c r="E7" s="7" t="s">
        <v>28</v>
      </c>
      <c r="F7" s="7" t="s">
        <v>29</v>
      </c>
      <c r="G7" s="7" t="s">
        <v>30</v>
      </c>
      <c r="H7" s="7" t="s">
        <v>31</v>
      </c>
      <c r="I7" s="7" t="s">
        <v>32</v>
      </c>
      <c r="J7" s="7" t="s">
        <v>33</v>
      </c>
      <c r="K7" s="7" t="s">
        <v>34</v>
      </c>
      <c r="L7" s="8"/>
      <c r="M7" s="9" t="s">
        <v>35</v>
      </c>
      <c r="N7" s="9" t="s">
        <v>36</v>
      </c>
      <c r="O7" s="8"/>
      <c r="P7" s="9" t="s">
        <v>37</v>
      </c>
      <c r="Q7" s="9" t="s">
        <v>38</v>
      </c>
      <c r="R7" s="9" t="s">
        <v>39</v>
      </c>
      <c r="T7" s="9" t="s">
        <v>40</v>
      </c>
      <c r="U7" s="9" t="s">
        <v>41</v>
      </c>
      <c r="V7" s="9" t="s">
        <v>42</v>
      </c>
      <c r="W7" s="9" t="s">
        <v>43</v>
      </c>
      <c r="X7" s="9" t="s">
        <v>44</v>
      </c>
      <c r="Z7" s="10" t="s">
        <v>45</v>
      </c>
      <c r="AA7" s="10" t="s">
        <v>46</v>
      </c>
      <c r="AB7" s="9" t="s">
        <v>41</v>
      </c>
      <c r="AC7" s="9" t="s">
        <v>42</v>
      </c>
      <c r="AD7" s="10" t="s">
        <v>47</v>
      </c>
      <c r="AE7" s="10" t="s">
        <v>48</v>
      </c>
    </row>
    <row r="8" spans="1:31">
      <c r="A8" s="17"/>
      <c r="B8" s="45"/>
      <c r="C8" s="45"/>
      <c r="D8" s="33" t="s">
        <v>49</v>
      </c>
      <c r="E8" s="34"/>
      <c r="F8" s="35"/>
      <c r="G8" s="36"/>
      <c r="H8" s="39"/>
      <c r="I8" s="38" t="s">
        <v>49</v>
      </c>
      <c r="J8" s="13" t="e">
        <f>VLOOKUP(I8,'Döviz Kurları'!$B$8:$C$10,2,0)</f>
        <v>#N/A</v>
      </c>
      <c r="K8" s="14" t="e">
        <f t="shared" ref="K8:K25" si="0">H8*J8</f>
        <v>#N/A</v>
      </c>
      <c r="L8" s="8"/>
      <c r="M8" s="43"/>
      <c r="N8" s="14" t="e">
        <f t="shared" ref="N8:N25" si="1">K8-M8</f>
        <v>#N/A</v>
      </c>
      <c r="O8" s="8"/>
      <c r="P8" s="44" t="s">
        <v>49</v>
      </c>
      <c r="Q8" s="44" t="s">
        <v>49</v>
      </c>
      <c r="R8" s="15" t="s">
        <v>50</v>
      </c>
      <c r="T8" s="16">
        <f t="shared" ref="T8:T25" si="2">IF(ISBLANK(G8),0,$C$5-E8+1)</f>
        <v>0</v>
      </c>
      <c r="U8" s="16">
        <f t="shared" ref="U8:U25" si="3">H8*T8*G8/360</f>
        <v>0</v>
      </c>
      <c r="V8" s="8" t="e">
        <f t="shared" ref="V8:V25" si="4">K8*T8*G8/360</f>
        <v>#N/A</v>
      </c>
      <c r="W8" s="12"/>
      <c r="X8" s="8" t="e">
        <f t="shared" ref="X8:X25" si="5">V8-W8</f>
        <v>#N/A</v>
      </c>
      <c r="Y8" s="8"/>
      <c r="Z8" s="16">
        <f t="shared" ref="Z8:Z25" si="6">IF(ISBLANK(G8),0,F8-E8+1)</f>
        <v>0</v>
      </c>
      <c r="AA8" s="16">
        <f t="shared" ref="AA8:AA25" si="7">IF(ISBLANK(G8),0,H8+(H8*G8*Z8)/360)</f>
        <v>0</v>
      </c>
      <c r="AB8" s="16">
        <f t="shared" ref="AB8:AB25" si="8">IF(ISBLANK(G8),0,H8*((AA8/H8)^(T8/Z8))-H8)</f>
        <v>0</v>
      </c>
      <c r="AC8" s="16">
        <f t="shared" ref="AC8:AC25" si="9">IF(ISBLANK(G8),0,AB8*K8/H8)</f>
        <v>0</v>
      </c>
      <c r="AD8" s="8" t="e">
        <f t="shared" ref="AD8:AD25" si="10">V8-AC8</f>
        <v>#N/A</v>
      </c>
      <c r="AE8" s="8" t="e">
        <f t="shared" ref="AE8:AE25" si="11">K8+AC8</f>
        <v>#N/A</v>
      </c>
    </row>
    <row r="9" spans="1:31">
      <c r="A9" s="11"/>
      <c r="B9" s="45"/>
      <c r="C9" s="45"/>
      <c r="D9" s="33" t="s">
        <v>49</v>
      </c>
      <c r="E9" s="34"/>
      <c r="F9" s="35"/>
      <c r="G9" s="36"/>
      <c r="H9" s="37"/>
      <c r="I9" s="38" t="s">
        <v>49</v>
      </c>
      <c r="J9" s="13" t="e">
        <f>VLOOKUP(I9,'Döviz Kurları'!$B$8:$C$10,2,0)</f>
        <v>#N/A</v>
      </c>
      <c r="K9" s="14" t="e">
        <f t="shared" si="0"/>
        <v>#N/A</v>
      </c>
      <c r="L9" s="8"/>
      <c r="M9" s="43"/>
      <c r="N9" s="14" t="e">
        <f t="shared" si="1"/>
        <v>#N/A</v>
      </c>
      <c r="O9" s="8"/>
      <c r="P9" s="44" t="s">
        <v>49</v>
      </c>
      <c r="Q9" s="44" t="s">
        <v>49</v>
      </c>
      <c r="R9" s="15" t="s">
        <v>50</v>
      </c>
      <c r="T9" s="16">
        <f t="shared" si="2"/>
        <v>0</v>
      </c>
      <c r="U9" s="16">
        <f t="shared" si="3"/>
        <v>0</v>
      </c>
      <c r="V9" s="8" t="e">
        <f t="shared" si="4"/>
        <v>#N/A</v>
      </c>
      <c r="W9" s="12"/>
      <c r="X9" s="8" t="e">
        <f t="shared" si="5"/>
        <v>#N/A</v>
      </c>
      <c r="Y9" s="8"/>
      <c r="Z9" s="16">
        <f t="shared" si="6"/>
        <v>0</v>
      </c>
      <c r="AA9" s="16">
        <f t="shared" si="7"/>
        <v>0</v>
      </c>
      <c r="AB9" s="16">
        <f t="shared" si="8"/>
        <v>0</v>
      </c>
      <c r="AC9" s="16">
        <f t="shared" si="9"/>
        <v>0</v>
      </c>
      <c r="AD9" s="8" t="e">
        <f t="shared" si="10"/>
        <v>#N/A</v>
      </c>
      <c r="AE9" s="8" t="e">
        <f t="shared" si="11"/>
        <v>#N/A</v>
      </c>
    </row>
    <row r="10" spans="1:31">
      <c r="A10" s="11"/>
      <c r="B10" s="45"/>
      <c r="C10" s="45"/>
      <c r="D10" s="33" t="s">
        <v>49</v>
      </c>
      <c r="E10" s="34"/>
      <c r="F10" s="35"/>
      <c r="G10" s="36"/>
      <c r="H10" s="37"/>
      <c r="I10" s="38" t="s">
        <v>49</v>
      </c>
      <c r="J10" s="13" t="e">
        <f>VLOOKUP(I10,'Döviz Kurları'!$B$8:$C$10,2,0)</f>
        <v>#N/A</v>
      </c>
      <c r="K10" s="14" t="e">
        <f t="shared" si="0"/>
        <v>#N/A</v>
      </c>
      <c r="L10" s="8"/>
      <c r="M10" s="43"/>
      <c r="N10" s="14" t="e">
        <f t="shared" si="1"/>
        <v>#N/A</v>
      </c>
      <c r="O10" s="8"/>
      <c r="P10" s="44" t="s">
        <v>49</v>
      </c>
      <c r="Q10" s="44" t="s">
        <v>49</v>
      </c>
      <c r="R10" s="15" t="s">
        <v>50</v>
      </c>
      <c r="T10" s="16">
        <f t="shared" si="2"/>
        <v>0</v>
      </c>
      <c r="U10" s="16">
        <f t="shared" si="3"/>
        <v>0</v>
      </c>
      <c r="V10" s="8" t="e">
        <f t="shared" si="4"/>
        <v>#N/A</v>
      </c>
      <c r="W10" s="12"/>
      <c r="X10" s="8" t="e">
        <f t="shared" si="5"/>
        <v>#N/A</v>
      </c>
      <c r="Y10" s="8"/>
      <c r="Z10" s="16">
        <f t="shared" si="6"/>
        <v>0</v>
      </c>
      <c r="AA10" s="16">
        <f t="shared" si="7"/>
        <v>0</v>
      </c>
      <c r="AB10" s="16">
        <f t="shared" si="8"/>
        <v>0</v>
      </c>
      <c r="AC10" s="16">
        <f t="shared" si="9"/>
        <v>0</v>
      </c>
      <c r="AD10" s="8" t="e">
        <f t="shared" si="10"/>
        <v>#N/A</v>
      </c>
      <c r="AE10" s="8" t="e">
        <f t="shared" si="11"/>
        <v>#N/A</v>
      </c>
    </row>
    <row r="11" spans="1:31">
      <c r="A11" s="17"/>
      <c r="B11" s="45"/>
      <c r="C11" s="45"/>
      <c r="D11" s="33" t="s">
        <v>49</v>
      </c>
      <c r="E11" s="34"/>
      <c r="F11" s="40"/>
      <c r="G11" s="36"/>
      <c r="H11" s="39"/>
      <c r="I11" s="38" t="s">
        <v>49</v>
      </c>
      <c r="J11" s="13" t="e">
        <f>VLOOKUP(I11,'Döviz Kurları'!$B$8:$C$10,2,0)</f>
        <v>#N/A</v>
      </c>
      <c r="K11" s="14" t="e">
        <f t="shared" si="0"/>
        <v>#N/A</v>
      </c>
      <c r="L11" s="8"/>
      <c r="M11" s="43"/>
      <c r="N11" s="14" t="e">
        <f t="shared" si="1"/>
        <v>#N/A</v>
      </c>
      <c r="O11" s="8"/>
      <c r="P11" s="44" t="s">
        <v>49</v>
      </c>
      <c r="Q11" s="44" t="s">
        <v>49</v>
      </c>
      <c r="R11" s="15" t="s">
        <v>50</v>
      </c>
      <c r="T11" s="16">
        <f t="shared" si="2"/>
        <v>0</v>
      </c>
      <c r="U11" s="16">
        <f t="shared" si="3"/>
        <v>0</v>
      </c>
      <c r="V11" s="8" t="e">
        <f t="shared" si="4"/>
        <v>#N/A</v>
      </c>
      <c r="W11" s="12"/>
      <c r="X11" s="8" t="e">
        <f t="shared" si="5"/>
        <v>#N/A</v>
      </c>
      <c r="Y11" s="8"/>
      <c r="Z11" s="16">
        <f t="shared" si="6"/>
        <v>0</v>
      </c>
      <c r="AA11" s="16">
        <f t="shared" si="7"/>
        <v>0</v>
      </c>
      <c r="AB11" s="16">
        <f t="shared" si="8"/>
        <v>0</v>
      </c>
      <c r="AC11" s="16">
        <f t="shared" si="9"/>
        <v>0</v>
      </c>
      <c r="AD11" s="8" t="e">
        <f t="shared" si="10"/>
        <v>#N/A</v>
      </c>
      <c r="AE11" s="8" t="e">
        <f t="shared" si="11"/>
        <v>#N/A</v>
      </c>
    </row>
    <row r="12" spans="1:31">
      <c r="A12" s="11"/>
      <c r="B12" s="45"/>
      <c r="C12" s="45"/>
      <c r="D12" s="33" t="s">
        <v>49</v>
      </c>
      <c r="E12" s="34"/>
      <c r="F12" s="35"/>
      <c r="G12" s="36"/>
      <c r="H12" s="37"/>
      <c r="I12" s="38" t="s">
        <v>49</v>
      </c>
      <c r="J12" s="13" t="e">
        <f>VLOOKUP(I12,'Döviz Kurları'!$B$8:$C$10,2,0)</f>
        <v>#N/A</v>
      </c>
      <c r="K12" s="14" t="e">
        <f t="shared" si="0"/>
        <v>#N/A</v>
      </c>
      <c r="L12" s="8"/>
      <c r="M12" s="43"/>
      <c r="N12" s="14" t="e">
        <f t="shared" si="1"/>
        <v>#N/A</v>
      </c>
      <c r="O12" s="8"/>
      <c r="P12" s="44" t="s">
        <v>49</v>
      </c>
      <c r="Q12" s="44" t="s">
        <v>49</v>
      </c>
      <c r="R12" s="15" t="s">
        <v>50</v>
      </c>
      <c r="T12" s="16">
        <f t="shared" si="2"/>
        <v>0</v>
      </c>
      <c r="U12" s="16">
        <f t="shared" si="3"/>
        <v>0</v>
      </c>
      <c r="V12" s="8" t="e">
        <f t="shared" si="4"/>
        <v>#N/A</v>
      </c>
      <c r="W12" s="12"/>
      <c r="X12" s="8" t="e">
        <f t="shared" si="5"/>
        <v>#N/A</v>
      </c>
      <c r="Y12" s="8"/>
      <c r="Z12" s="16">
        <f t="shared" si="6"/>
        <v>0</v>
      </c>
      <c r="AA12" s="16">
        <f t="shared" si="7"/>
        <v>0</v>
      </c>
      <c r="AB12" s="16">
        <f t="shared" si="8"/>
        <v>0</v>
      </c>
      <c r="AC12" s="16">
        <f t="shared" si="9"/>
        <v>0</v>
      </c>
      <c r="AD12" s="8" t="e">
        <f t="shared" si="10"/>
        <v>#N/A</v>
      </c>
      <c r="AE12" s="8" t="e">
        <f t="shared" si="11"/>
        <v>#N/A</v>
      </c>
    </row>
    <row r="13" spans="1:31">
      <c r="A13" s="11"/>
      <c r="B13" s="45"/>
      <c r="C13" s="45"/>
      <c r="D13" s="33" t="s">
        <v>49</v>
      </c>
      <c r="E13" s="34"/>
      <c r="F13" s="35"/>
      <c r="G13" s="36"/>
      <c r="H13" s="37"/>
      <c r="I13" s="38" t="s">
        <v>49</v>
      </c>
      <c r="J13" s="13" t="e">
        <f>VLOOKUP(I13,'Döviz Kurları'!$B$8:$C$10,2,0)</f>
        <v>#N/A</v>
      </c>
      <c r="K13" s="14" t="e">
        <f t="shared" si="0"/>
        <v>#N/A</v>
      </c>
      <c r="L13" s="8"/>
      <c r="M13" s="43"/>
      <c r="N13" s="14" t="e">
        <f t="shared" si="1"/>
        <v>#N/A</v>
      </c>
      <c r="O13" s="8"/>
      <c r="P13" s="44" t="s">
        <v>49</v>
      </c>
      <c r="Q13" s="44" t="s">
        <v>49</v>
      </c>
      <c r="R13" s="15" t="s">
        <v>50</v>
      </c>
      <c r="T13" s="16">
        <f t="shared" si="2"/>
        <v>0</v>
      </c>
      <c r="U13" s="16">
        <f t="shared" si="3"/>
        <v>0</v>
      </c>
      <c r="V13" s="8" t="e">
        <f t="shared" si="4"/>
        <v>#N/A</v>
      </c>
      <c r="W13" s="12"/>
      <c r="X13" s="8" t="e">
        <f t="shared" si="5"/>
        <v>#N/A</v>
      </c>
      <c r="Y13" s="8"/>
      <c r="Z13" s="16">
        <f t="shared" si="6"/>
        <v>0</v>
      </c>
      <c r="AA13" s="16">
        <f t="shared" si="7"/>
        <v>0</v>
      </c>
      <c r="AB13" s="16">
        <f t="shared" si="8"/>
        <v>0</v>
      </c>
      <c r="AC13" s="16">
        <f t="shared" si="9"/>
        <v>0</v>
      </c>
      <c r="AD13" s="8" t="e">
        <f t="shared" si="10"/>
        <v>#N/A</v>
      </c>
      <c r="AE13" s="8" t="e">
        <f t="shared" si="11"/>
        <v>#N/A</v>
      </c>
    </row>
    <row r="14" spans="1:31">
      <c r="A14" s="17"/>
      <c r="B14" s="45"/>
      <c r="C14" s="45"/>
      <c r="D14" s="33" t="s">
        <v>49</v>
      </c>
      <c r="E14" s="34"/>
      <c r="F14" s="35"/>
      <c r="G14" s="36"/>
      <c r="H14" s="39"/>
      <c r="I14" s="38" t="s">
        <v>49</v>
      </c>
      <c r="J14" s="13" t="e">
        <f>VLOOKUP(I14,'Döviz Kurları'!$B$8:$C$10,2,0)</f>
        <v>#N/A</v>
      </c>
      <c r="K14" s="14" t="e">
        <f t="shared" si="0"/>
        <v>#N/A</v>
      </c>
      <c r="L14" s="8"/>
      <c r="M14" s="43"/>
      <c r="N14" s="14" t="e">
        <f t="shared" si="1"/>
        <v>#N/A</v>
      </c>
      <c r="O14" s="8"/>
      <c r="P14" s="44" t="s">
        <v>49</v>
      </c>
      <c r="Q14" s="44" t="s">
        <v>49</v>
      </c>
      <c r="R14" s="15" t="s">
        <v>50</v>
      </c>
      <c r="T14" s="16">
        <f t="shared" si="2"/>
        <v>0</v>
      </c>
      <c r="U14" s="16">
        <f t="shared" si="3"/>
        <v>0</v>
      </c>
      <c r="V14" s="8" t="e">
        <f t="shared" si="4"/>
        <v>#N/A</v>
      </c>
      <c r="W14" s="12"/>
      <c r="X14" s="8" t="e">
        <f t="shared" si="5"/>
        <v>#N/A</v>
      </c>
      <c r="Y14" s="8"/>
      <c r="Z14" s="16">
        <f t="shared" si="6"/>
        <v>0</v>
      </c>
      <c r="AA14" s="16">
        <f t="shared" si="7"/>
        <v>0</v>
      </c>
      <c r="AB14" s="16">
        <f t="shared" si="8"/>
        <v>0</v>
      </c>
      <c r="AC14" s="16">
        <f t="shared" si="9"/>
        <v>0</v>
      </c>
      <c r="AD14" s="8" t="e">
        <f t="shared" si="10"/>
        <v>#N/A</v>
      </c>
      <c r="AE14" s="8" t="e">
        <f t="shared" si="11"/>
        <v>#N/A</v>
      </c>
    </row>
    <row r="15" spans="1:31">
      <c r="A15" s="11"/>
      <c r="B15" s="45"/>
      <c r="C15" s="45"/>
      <c r="D15" s="33" t="s">
        <v>49</v>
      </c>
      <c r="E15" s="34"/>
      <c r="F15" s="35"/>
      <c r="G15" s="36"/>
      <c r="H15" s="37"/>
      <c r="I15" s="38" t="s">
        <v>49</v>
      </c>
      <c r="J15" s="13" t="e">
        <f>VLOOKUP(I15,'Döviz Kurları'!$B$8:$C$10,2,0)</f>
        <v>#N/A</v>
      </c>
      <c r="K15" s="14" t="e">
        <f t="shared" si="0"/>
        <v>#N/A</v>
      </c>
      <c r="L15" s="8"/>
      <c r="M15" s="43"/>
      <c r="N15" s="14" t="e">
        <f t="shared" si="1"/>
        <v>#N/A</v>
      </c>
      <c r="O15" s="8"/>
      <c r="P15" s="44" t="s">
        <v>49</v>
      </c>
      <c r="Q15" s="44" t="s">
        <v>49</v>
      </c>
      <c r="R15" s="15" t="s">
        <v>50</v>
      </c>
      <c r="T15" s="16">
        <f t="shared" si="2"/>
        <v>0</v>
      </c>
      <c r="U15" s="16">
        <f t="shared" si="3"/>
        <v>0</v>
      </c>
      <c r="V15" s="8" t="e">
        <f t="shared" si="4"/>
        <v>#N/A</v>
      </c>
      <c r="W15" s="12"/>
      <c r="X15" s="8" t="e">
        <f t="shared" si="5"/>
        <v>#N/A</v>
      </c>
      <c r="Y15" s="8"/>
      <c r="Z15" s="16">
        <f t="shared" si="6"/>
        <v>0</v>
      </c>
      <c r="AA15" s="16">
        <f t="shared" si="7"/>
        <v>0</v>
      </c>
      <c r="AB15" s="16">
        <f t="shared" si="8"/>
        <v>0</v>
      </c>
      <c r="AC15" s="16">
        <f t="shared" si="9"/>
        <v>0</v>
      </c>
      <c r="AD15" s="8" t="e">
        <f t="shared" si="10"/>
        <v>#N/A</v>
      </c>
      <c r="AE15" s="8" t="e">
        <f t="shared" si="11"/>
        <v>#N/A</v>
      </c>
    </row>
    <row r="16" spans="1:31">
      <c r="A16" s="11"/>
      <c r="B16" s="45"/>
      <c r="C16" s="45"/>
      <c r="D16" s="33" t="s">
        <v>49</v>
      </c>
      <c r="E16" s="34"/>
      <c r="F16" s="35"/>
      <c r="G16" s="36"/>
      <c r="H16" s="37"/>
      <c r="I16" s="38" t="s">
        <v>49</v>
      </c>
      <c r="J16" s="13" t="e">
        <f>VLOOKUP(I16,'Döviz Kurları'!$B$8:$C$10,2,0)</f>
        <v>#N/A</v>
      </c>
      <c r="K16" s="14" t="e">
        <f t="shared" si="0"/>
        <v>#N/A</v>
      </c>
      <c r="L16" s="8"/>
      <c r="M16" s="43"/>
      <c r="N16" s="14" t="e">
        <f t="shared" si="1"/>
        <v>#N/A</v>
      </c>
      <c r="O16" s="8"/>
      <c r="P16" s="44" t="s">
        <v>49</v>
      </c>
      <c r="Q16" s="44" t="s">
        <v>49</v>
      </c>
      <c r="R16" s="15" t="s">
        <v>50</v>
      </c>
      <c r="T16" s="16">
        <f t="shared" si="2"/>
        <v>0</v>
      </c>
      <c r="U16" s="16">
        <f t="shared" si="3"/>
        <v>0</v>
      </c>
      <c r="V16" s="8" t="e">
        <f t="shared" si="4"/>
        <v>#N/A</v>
      </c>
      <c r="W16" s="12"/>
      <c r="X16" s="8" t="e">
        <f t="shared" si="5"/>
        <v>#N/A</v>
      </c>
      <c r="Y16" s="8"/>
      <c r="Z16" s="16">
        <f t="shared" si="6"/>
        <v>0</v>
      </c>
      <c r="AA16" s="16">
        <f t="shared" si="7"/>
        <v>0</v>
      </c>
      <c r="AB16" s="16">
        <f t="shared" si="8"/>
        <v>0</v>
      </c>
      <c r="AC16" s="16">
        <f t="shared" si="9"/>
        <v>0</v>
      </c>
      <c r="AD16" s="8" t="e">
        <f t="shared" si="10"/>
        <v>#N/A</v>
      </c>
      <c r="AE16" s="8" t="e">
        <f t="shared" si="11"/>
        <v>#N/A</v>
      </c>
    </row>
    <row r="17" spans="1:31">
      <c r="A17" s="11"/>
      <c r="B17" s="45"/>
      <c r="C17" s="45"/>
      <c r="D17" s="33" t="s">
        <v>49</v>
      </c>
      <c r="E17" s="34"/>
      <c r="F17" s="35"/>
      <c r="G17" s="36"/>
      <c r="H17" s="37"/>
      <c r="I17" s="38" t="s">
        <v>49</v>
      </c>
      <c r="J17" s="13" t="e">
        <f>VLOOKUP(I17,'Döviz Kurları'!$B$8:$C$10,2,0)</f>
        <v>#N/A</v>
      </c>
      <c r="K17" s="14" t="e">
        <f t="shared" si="0"/>
        <v>#N/A</v>
      </c>
      <c r="L17" s="8"/>
      <c r="M17" s="43"/>
      <c r="N17" s="14" t="e">
        <f t="shared" si="1"/>
        <v>#N/A</v>
      </c>
      <c r="O17" s="8"/>
      <c r="P17" s="44" t="s">
        <v>49</v>
      </c>
      <c r="Q17" s="44" t="s">
        <v>49</v>
      </c>
      <c r="R17" s="15" t="s">
        <v>50</v>
      </c>
      <c r="T17" s="16">
        <f t="shared" si="2"/>
        <v>0</v>
      </c>
      <c r="U17" s="16">
        <f t="shared" si="3"/>
        <v>0</v>
      </c>
      <c r="V17" s="8" t="e">
        <f t="shared" si="4"/>
        <v>#N/A</v>
      </c>
      <c r="W17" s="12"/>
      <c r="X17" s="8" t="e">
        <f t="shared" si="5"/>
        <v>#N/A</v>
      </c>
      <c r="Y17" s="8"/>
      <c r="Z17" s="16">
        <f t="shared" si="6"/>
        <v>0</v>
      </c>
      <c r="AA17" s="16">
        <f t="shared" si="7"/>
        <v>0</v>
      </c>
      <c r="AB17" s="16">
        <f t="shared" si="8"/>
        <v>0</v>
      </c>
      <c r="AC17" s="16">
        <f t="shared" si="9"/>
        <v>0</v>
      </c>
      <c r="AD17" s="8" t="e">
        <f t="shared" si="10"/>
        <v>#N/A</v>
      </c>
      <c r="AE17" s="8" t="e">
        <f t="shared" si="11"/>
        <v>#N/A</v>
      </c>
    </row>
    <row r="18" spans="1:31">
      <c r="A18" s="11"/>
      <c r="B18" s="45"/>
      <c r="C18" s="45"/>
      <c r="D18" s="33" t="s">
        <v>49</v>
      </c>
      <c r="E18" s="34"/>
      <c r="F18" s="35"/>
      <c r="G18" s="36"/>
      <c r="H18" s="37"/>
      <c r="I18" s="38" t="s">
        <v>49</v>
      </c>
      <c r="J18" s="13" t="e">
        <f>VLOOKUP(I18,'Döviz Kurları'!$B$8:$C$10,2,0)</f>
        <v>#N/A</v>
      </c>
      <c r="K18" s="14" t="e">
        <f t="shared" si="0"/>
        <v>#N/A</v>
      </c>
      <c r="L18" s="8"/>
      <c r="M18" s="43"/>
      <c r="N18" s="14" t="e">
        <f t="shared" si="1"/>
        <v>#N/A</v>
      </c>
      <c r="O18" s="8"/>
      <c r="P18" s="44" t="s">
        <v>49</v>
      </c>
      <c r="Q18" s="44" t="s">
        <v>49</v>
      </c>
      <c r="R18" s="15" t="s">
        <v>50</v>
      </c>
      <c r="T18" s="16">
        <f t="shared" si="2"/>
        <v>0</v>
      </c>
      <c r="U18" s="16">
        <f t="shared" si="3"/>
        <v>0</v>
      </c>
      <c r="V18" s="8" t="e">
        <f t="shared" si="4"/>
        <v>#N/A</v>
      </c>
      <c r="W18" s="12"/>
      <c r="X18" s="8" t="e">
        <f t="shared" si="5"/>
        <v>#N/A</v>
      </c>
      <c r="Y18" s="8"/>
      <c r="Z18" s="16">
        <f t="shared" si="6"/>
        <v>0</v>
      </c>
      <c r="AA18" s="16">
        <f t="shared" si="7"/>
        <v>0</v>
      </c>
      <c r="AB18" s="16">
        <f t="shared" si="8"/>
        <v>0</v>
      </c>
      <c r="AC18" s="16">
        <f t="shared" si="9"/>
        <v>0</v>
      </c>
      <c r="AD18" s="8" t="e">
        <f t="shared" si="10"/>
        <v>#N/A</v>
      </c>
      <c r="AE18" s="8" t="e">
        <f t="shared" si="11"/>
        <v>#N/A</v>
      </c>
    </row>
    <row r="19" spans="1:31">
      <c r="A19" s="11"/>
      <c r="B19" s="45"/>
      <c r="C19" s="45"/>
      <c r="D19" s="33" t="s">
        <v>49</v>
      </c>
      <c r="E19" s="34"/>
      <c r="F19" s="35"/>
      <c r="G19" s="36"/>
      <c r="H19" s="37"/>
      <c r="I19" s="38" t="s">
        <v>49</v>
      </c>
      <c r="J19" s="13" t="e">
        <f>VLOOKUP(I19,'Döviz Kurları'!$B$8:$C$10,2,0)</f>
        <v>#N/A</v>
      </c>
      <c r="K19" s="14" t="e">
        <f t="shared" si="0"/>
        <v>#N/A</v>
      </c>
      <c r="L19" s="8"/>
      <c r="M19" s="43"/>
      <c r="N19" s="14" t="e">
        <f t="shared" si="1"/>
        <v>#N/A</v>
      </c>
      <c r="O19" s="8"/>
      <c r="P19" s="44" t="s">
        <v>49</v>
      </c>
      <c r="Q19" s="44" t="s">
        <v>49</v>
      </c>
      <c r="R19" s="15" t="s">
        <v>50</v>
      </c>
      <c r="T19" s="16">
        <f t="shared" si="2"/>
        <v>0</v>
      </c>
      <c r="U19" s="16">
        <f t="shared" si="3"/>
        <v>0</v>
      </c>
      <c r="V19" s="8" t="e">
        <f t="shared" si="4"/>
        <v>#N/A</v>
      </c>
      <c r="W19" s="12"/>
      <c r="X19" s="8" t="e">
        <f t="shared" si="5"/>
        <v>#N/A</v>
      </c>
      <c r="Y19" s="8"/>
      <c r="Z19" s="16">
        <f t="shared" si="6"/>
        <v>0</v>
      </c>
      <c r="AA19" s="16">
        <f t="shared" si="7"/>
        <v>0</v>
      </c>
      <c r="AB19" s="16">
        <f t="shared" si="8"/>
        <v>0</v>
      </c>
      <c r="AC19" s="16">
        <f t="shared" si="9"/>
        <v>0</v>
      </c>
      <c r="AD19" s="8" t="e">
        <f t="shared" si="10"/>
        <v>#N/A</v>
      </c>
      <c r="AE19" s="8" t="e">
        <f t="shared" si="11"/>
        <v>#N/A</v>
      </c>
    </row>
    <row r="20" spans="1:31">
      <c r="A20" s="11"/>
      <c r="B20" s="45"/>
      <c r="C20" s="45"/>
      <c r="D20" s="33" t="s">
        <v>49</v>
      </c>
      <c r="E20" s="34"/>
      <c r="F20" s="35"/>
      <c r="G20" s="36"/>
      <c r="H20" s="37"/>
      <c r="I20" s="38" t="s">
        <v>49</v>
      </c>
      <c r="J20" s="13" t="e">
        <f>VLOOKUP(I20,'Döviz Kurları'!$B$8:$C$10,2,0)</f>
        <v>#N/A</v>
      </c>
      <c r="K20" s="14" t="e">
        <f t="shared" si="0"/>
        <v>#N/A</v>
      </c>
      <c r="L20" s="8"/>
      <c r="M20" s="43"/>
      <c r="N20" s="14" t="e">
        <f t="shared" si="1"/>
        <v>#N/A</v>
      </c>
      <c r="O20" s="8"/>
      <c r="P20" s="44" t="s">
        <v>49</v>
      </c>
      <c r="Q20" s="44" t="s">
        <v>49</v>
      </c>
      <c r="R20" s="15" t="s">
        <v>50</v>
      </c>
      <c r="T20" s="16">
        <f t="shared" si="2"/>
        <v>0</v>
      </c>
      <c r="U20" s="16">
        <f t="shared" si="3"/>
        <v>0</v>
      </c>
      <c r="V20" s="8" t="e">
        <f t="shared" si="4"/>
        <v>#N/A</v>
      </c>
      <c r="W20" s="12"/>
      <c r="X20" s="8" t="e">
        <f t="shared" si="5"/>
        <v>#N/A</v>
      </c>
      <c r="Y20" s="8"/>
      <c r="Z20" s="16">
        <f t="shared" si="6"/>
        <v>0</v>
      </c>
      <c r="AA20" s="16">
        <f t="shared" si="7"/>
        <v>0</v>
      </c>
      <c r="AB20" s="16">
        <f t="shared" si="8"/>
        <v>0</v>
      </c>
      <c r="AC20" s="16">
        <f t="shared" si="9"/>
        <v>0</v>
      </c>
      <c r="AD20" s="8" t="e">
        <f t="shared" si="10"/>
        <v>#N/A</v>
      </c>
      <c r="AE20" s="8" t="e">
        <f t="shared" si="11"/>
        <v>#N/A</v>
      </c>
    </row>
    <row r="21" spans="1:31">
      <c r="A21" s="11"/>
      <c r="B21" s="45"/>
      <c r="C21" s="45"/>
      <c r="D21" s="33" t="s">
        <v>49</v>
      </c>
      <c r="E21" s="34"/>
      <c r="F21" s="35"/>
      <c r="G21" s="36"/>
      <c r="H21" s="37"/>
      <c r="I21" s="38" t="s">
        <v>49</v>
      </c>
      <c r="J21" s="13" t="e">
        <f>VLOOKUP(I21,'Döviz Kurları'!$B$8:$C$10,2,0)</f>
        <v>#N/A</v>
      </c>
      <c r="K21" s="14" t="e">
        <f t="shared" si="0"/>
        <v>#N/A</v>
      </c>
      <c r="L21" s="8"/>
      <c r="M21" s="43"/>
      <c r="N21" s="14" t="e">
        <f t="shared" si="1"/>
        <v>#N/A</v>
      </c>
      <c r="O21" s="8"/>
      <c r="P21" s="44" t="s">
        <v>49</v>
      </c>
      <c r="Q21" s="44" t="s">
        <v>49</v>
      </c>
      <c r="R21" s="15" t="s">
        <v>50</v>
      </c>
      <c r="T21" s="16">
        <f t="shared" si="2"/>
        <v>0</v>
      </c>
      <c r="U21" s="16">
        <f t="shared" si="3"/>
        <v>0</v>
      </c>
      <c r="V21" s="8" t="e">
        <f t="shared" si="4"/>
        <v>#N/A</v>
      </c>
      <c r="W21" s="12"/>
      <c r="X21" s="8" t="e">
        <f t="shared" si="5"/>
        <v>#N/A</v>
      </c>
      <c r="Y21" s="8"/>
      <c r="Z21" s="16">
        <f t="shared" si="6"/>
        <v>0</v>
      </c>
      <c r="AA21" s="16">
        <f t="shared" si="7"/>
        <v>0</v>
      </c>
      <c r="AB21" s="16">
        <f t="shared" si="8"/>
        <v>0</v>
      </c>
      <c r="AC21" s="16">
        <f t="shared" si="9"/>
        <v>0</v>
      </c>
      <c r="AD21" s="8" t="e">
        <f t="shared" si="10"/>
        <v>#N/A</v>
      </c>
      <c r="AE21" s="8" t="e">
        <f t="shared" si="11"/>
        <v>#N/A</v>
      </c>
    </row>
    <row r="22" spans="1:31">
      <c r="A22" s="18"/>
      <c r="B22" s="45"/>
      <c r="C22" s="45"/>
      <c r="D22" s="33" t="s">
        <v>49</v>
      </c>
      <c r="E22" s="34"/>
      <c r="F22" s="35"/>
      <c r="G22" s="36"/>
      <c r="H22" s="39"/>
      <c r="I22" s="38" t="s">
        <v>49</v>
      </c>
      <c r="J22" s="13" t="e">
        <f>VLOOKUP(I22,'Döviz Kurları'!$B$8:$C$10,2,0)</f>
        <v>#N/A</v>
      </c>
      <c r="K22" s="14" t="e">
        <f t="shared" si="0"/>
        <v>#N/A</v>
      </c>
      <c r="L22" s="8"/>
      <c r="M22" s="43"/>
      <c r="N22" s="14" t="e">
        <f t="shared" si="1"/>
        <v>#N/A</v>
      </c>
      <c r="O22" s="8"/>
      <c r="P22" s="44" t="s">
        <v>49</v>
      </c>
      <c r="Q22" s="44" t="s">
        <v>49</v>
      </c>
      <c r="R22" s="15" t="s">
        <v>50</v>
      </c>
      <c r="T22" s="16">
        <f t="shared" si="2"/>
        <v>0</v>
      </c>
      <c r="U22" s="16">
        <f t="shared" si="3"/>
        <v>0</v>
      </c>
      <c r="V22" s="8" t="e">
        <f t="shared" si="4"/>
        <v>#N/A</v>
      </c>
      <c r="W22" s="12"/>
      <c r="X22" s="8" t="e">
        <f t="shared" si="5"/>
        <v>#N/A</v>
      </c>
      <c r="Y22" s="8"/>
      <c r="Z22" s="16">
        <f t="shared" si="6"/>
        <v>0</v>
      </c>
      <c r="AA22" s="16">
        <f t="shared" si="7"/>
        <v>0</v>
      </c>
      <c r="AB22" s="16">
        <f t="shared" si="8"/>
        <v>0</v>
      </c>
      <c r="AC22" s="16">
        <f t="shared" si="9"/>
        <v>0</v>
      </c>
      <c r="AD22" s="8" t="e">
        <f t="shared" si="10"/>
        <v>#N/A</v>
      </c>
      <c r="AE22" s="8" t="e">
        <f t="shared" si="11"/>
        <v>#N/A</v>
      </c>
    </row>
    <row r="23" spans="1:31">
      <c r="A23" s="11"/>
      <c r="B23" s="45"/>
      <c r="C23" s="45"/>
      <c r="D23" s="33" t="s">
        <v>49</v>
      </c>
      <c r="E23" s="34"/>
      <c r="F23" s="35"/>
      <c r="G23" s="36"/>
      <c r="H23" s="37"/>
      <c r="I23" s="38" t="s">
        <v>49</v>
      </c>
      <c r="J23" s="13" t="e">
        <f>VLOOKUP(I23,'Döviz Kurları'!$B$8:$C$10,2,0)</f>
        <v>#N/A</v>
      </c>
      <c r="K23" s="14" t="e">
        <f t="shared" si="0"/>
        <v>#N/A</v>
      </c>
      <c r="L23" s="8"/>
      <c r="M23" s="43"/>
      <c r="N23" s="14" t="e">
        <f t="shared" si="1"/>
        <v>#N/A</v>
      </c>
      <c r="O23" s="8"/>
      <c r="P23" s="44" t="s">
        <v>49</v>
      </c>
      <c r="Q23" s="44" t="s">
        <v>49</v>
      </c>
      <c r="R23" s="15" t="s">
        <v>50</v>
      </c>
      <c r="T23" s="16">
        <f t="shared" si="2"/>
        <v>0</v>
      </c>
      <c r="U23" s="16">
        <f t="shared" si="3"/>
        <v>0</v>
      </c>
      <c r="V23" s="8" t="e">
        <f t="shared" si="4"/>
        <v>#N/A</v>
      </c>
      <c r="W23" s="12"/>
      <c r="X23" s="8" t="e">
        <f t="shared" si="5"/>
        <v>#N/A</v>
      </c>
      <c r="Y23" s="8"/>
      <c r="Z23" s="16">
        <f t="shared" si="6"/>
        <v>0</v>
      </c>
      <c r="AA23" s="16">
        <f t="shared" si="7"/>
        <v>0</v>
      </c>
      <c r="AB23" s="16">
        <f t="shared" si="8"/>
        <v>0</v>
      </c>
      <c r="AC23" s="16">
        <f t="shared" si="9"/>
        <v>0</v>
      </c>
      <c r="AD23" s="8" t="e">
        <f t="shared" si="10"/>
        <v>#N/A</v>
      </c>
      <c r="AE23" s="8" t="e">
        <f t="shared" si="11"/>
        <v>#N/A</v>
      </c>
    </row>
    <row r="24" spans="1:31">
      <c r="A24" s="11"/>
      <c r="B24" s="45"/>
      <c r="C24" s="45"/>
      <c r="D24" s="33" t="s">
        <v>49</v>
      </c>
      <c r="E24" s="41"/>
      <c r="F24" s="41"/>
      <c r="G24" s="36"/>
      <c r="H24" s="37"/>
      <c r="I24" s="38" t="s">
        <v>49</v>
      </c>
      <c r="J24" s="13" t="e">
        <f>VLOOKUP(I24,'Döviz Kurları'!$B$8:$C$10,2,0)</f>
        <v>#N/A</v>
      </c>
      <c r="K24" s="14" t="e">
        <f t="shared" si="0"/>
        <v>#N/A</v>
      </c>
      <c r="L24" s="8"/>
      <c r="M24" s="43"/>
      <c r="N24" s="14" t="e">
        <f t="shared" si="1"/>
        <v>#N/A</v>
      </c>
      <c r="O24" s="8"/>
      <c r="P24" s="44" t="s">
        <v>49</v>
      </c>
      <c r="Q24" s="44" t="s">
        <v>49</v>
      </c>
      <c r="R24" s="15" t="s">
        <v>50</v>
      </c>
      <c r="T24" s="16">
        <f t="shared" si="2"/>
        <v>0</v>
      </c>
      <c r="U24" s="16">
        <f t="shared" si="3"/>
        <v>0</v>
      </c>
      <c r="V24" s="8" t="e">
        <f t="shared" si="4"/>
        <v>#N/A</v>
      </c>
      <c r="W24" s="12"/>
      <c r="X24" s="8" t="e">
        <f t="shared" si="5"/>
        <v>#N/A</v>
      </c>
      <c r="Y24" s="8"/>
      <c r="Z24" s="16">
        <f t="shared" si="6"/>
        <v>0</v>
      </c>
      <c r="AA24" s="16">
        <f t="shared" si="7"/>
        <v>0</v>
      </c>
      <c r="AB24" s="16">
        <f t="shared" si="8"/>
        <v>0</v>
      </c>
      <c r="AC24" s="16">
        <f t="shared" si="9"/>
        <v>0</v>
      </c>
      <c r="AD24" s="8" t="e">
        <f t="shared" si="10"/>
        <v>#N/A</v>
      </c>
      <c r="AE24" s="8" t="e">
        <f t="shared" si="11"/>
        <v>#N/A</v>
      </c>
    </row>
    <row r="25" spans="1:31">
      <c r="A25" s="11"/>
      <c r="B25" s="45"/>
      <c r="C25" s="45"/>
      <c r="D25" s="33" t="s">
        <v>49</v>
      </c>
      <c r="E25" s="42"/>
      <c r="F25" s="42"/>
      <c r="G25" s="42"/>
      <c r="H25" s="42"/>
      <c r="I25" s="38" t="s">
        <v>49</v>
      </c>
      <c r="J25" s="13" t="e">
        <f>VLOOKUP(I25,'Döviz Kurları'!$B$8:$C$10,2,0)</f>
        <v>#N/A</v>
      </c>
      <c r="K25" s="14" t="e">
        <f t="shared" si="0"/>
        <v>#N/A</v>
      </c>
      <c r="L25" s="8"/>
      <c r="M25" s="43"/>
      <c r="N25" s="14" t="e">
        <f t="shared" si="1"/>
        <v>#N/A</v>
      </c>
      <c r="O25" s="8"/>
      <c r="P25" s="44" t="s">
        <v>49</v>
      </c>
      <c r="Q25" s="44" t="s">
        <v>49</v>
      </c>
      <c r="R25" s="15" t="s">
        <v>50</v>
      </c>
      <c r="T25" s="16">
        <f t="shared" si="2"/>
        <v>0</v>
      </c>
      <c r="U25" s="16">
        <f t="shared" si="3"/>
        <v>0</v>
      </c>
      <c r="V25" s="8" t="e">
        <f t="shared" si="4"/>
        <v>#N/A</v>
      </c>
      <c r="W25" s="12"/>
      <c r="X25" s="8" t="e">
        <f t="shared" si="5"/>
        <v>#N/A</v>
      </c>
      <c r="Y25" s="8"/>
      <c r="Z25" s="16">
        <f t="shared" si="6"/>
        <v>0</v>
      </c>
      <c r="AA25" s="16">
        <f t="shared" si="7"/>
        <v>0</v>
      </c>
      <c r="AB25" s="16">
        <f t="shared" si="8"/>
        <v>0</v>
      </c>
      <c r="AC25" s="16">
        <f t="shared" si="9"/>
        <v>0</v>
      </c>
      <c r="AD25" s="8" t="e">
        <f t="shared" si="10"/>
        <v>#N/A</v>
      </c>
      <c r="AE25" s="8" t="e">
        <f t="shared" si="11"/>
        <v>#N/A</v>
      </c>
    </row>
    <row r="26" spans="1:31">
      <c r="A26" s="11"/>
      <c r="B26" s="45"/>
      <c r="C26" s="45"/>
      <c r="D26" s="33" t="s">
        <v>49</v>
      </c>
      <c r="E26" s="42"/>
      <c r="F26" s="42"/>
      <c r="G26" s="42"/>
      <c r="H26" s="42"/>
      <c r="I26" s="38" t="s">
        <v>49</v>
      </c>
      <c r="J26" s="13" t="e">
        <f>VLOOKUP(I26,'Döviz Kurları'!$B$8:$C$10,2,0)</f>
        <v>#N/A</v>
      </c>
      <c r="K26" s="14" t="e">
        <f t="shared" ref="K26:K34" si="12">H26*J26</f>
        <v>#N/A</v>
      </c>
      <c r="L26" s="8"/>
      <c r="M26" s="43"/>
      <c r="N26" s="14" t="e">
        <f t="shared" ref="N26:N34" si="13">K26-M26</f>
        <v>#N/A</v>
      </c>
      <c r="O26" s="8"/>
      <c r="P26" s="44" t="s">
        <v>49</v>
      </c>
      <c r="Q26" s="44" t="s">
        <v>49</v>
      </c>
      <c r="R26" s="15" t="s">
        <v>50</v>
      </c>
      <c r="T26" s="16">
        <f t="shared" ref="T26:T34" si="14">IF(ISBLANK(G26),0,$C$5-E26+1)</f>
        <v>0</v>
      </c>
      <c r="U26" s="16">
        <f t="shared" ref="U26:U34" si="15">H26*T26*G26/360</f>
        <v>0</v>
      </c>
      <c r="V26" s="8" t="e">
        <f t="shared" ref="V26:V34" si="16">K26*T26*G26/360</f>
        <v>#N/A</v>
      </c>
      <c r="W26" s="12"/>
      <c r="X26" s="8" t="e">
        <f t="shared" ref="X26:X34" si="17">V26-W26</f>
        <v>#N/A</v>
      </c>
      <c r="Y26" s="8"/>
      <c r="Z26" s="16">
        <f t="shared" ref="Z26:Z34" si="18">IF(ISBLANK(G26),0,F26-E26+1)</f>
        <v>0</v>
      </c>
      <c r="AA26" s="16">
        <f t="shared" ref="AA26:AA34" si="19">IF(ISBLANK(G26),0,H26+(H26*G26*Z26)/360)</f>
        <v>0</v>
      </c>
      <c r="AB26" s="16">
        <f t="shared" ref="AB26:AB34" si="20">IF(ISBLANK(G26),0,H26*((AA26/H26)^(T26/Z26))-H26)</f>
        <v>0</v>
      </c>
      <c r="AC26" s="16">
        <f t="shared" ref="AC26:AC34" si="21">IF(ISBLANK(G26),0,AB26*K26/H26)</f>
        <v>0</v>
      </c>
      <c r="AD26" s="8" t="e">
        <f t="shared" ref="AD26:AD34" si="22">V26-AC26</f>
        <v>#N/A</v>
      </c>
      <c r="AE26" s="8" t="e">
        <f t="shared" ref="AE26:AE34" si="23">K26+AC26</f>
        <v>#N/A</v>
      </c>
    </row>
    <row r="27" spans="1:31">
      <c r="A27" s="11"/>
      <c r="B27" s="45"/>
      <c r="C27" s="45"/>
      <c r="D27" s="33" t="s">
        <v>49</v>
      </c>
      <c r="E27" s="42"/>
      <c r="F27" s="42"/>
      <c r="G27" s="42"/>
      <c r="H27" s="42"/>
      <c r="I27" s="38" t="s">
        <v>49</v>
      </c>
      <c r="J27" s="13" t="e">
        <f>VLOOKUP(I27,'Döviz Kurları'!$B$8:$C$10,2,0)</f>
        <v>#N/A</v>
      </c>
      <c r="K27" s="14" t="e">
        <f t="shared" si="12"/>
        <v>#N/A</v>
      </c>
      <c r="L27" s="8"/>
      <c r="M27" s="43"/>
      <c r="N27" s="14" t="e">
        <f t="shared" si="13"/>
        <v>#N/A</v>
      </c>
      <c r="O27" s="8"/>
      <c r="P27" s="44" t="s">
        <v>49</v>
      </c>
      <c r="Q27" s="44" t="s">
        <v>49</v>
      </c>
      <c r="R27" s="15" t="s">
        <v>50</v>
      </c>
      <c r="T27" s="16">
        <f t="shared" si="14"/>
        <v>0</v>
      </c>
      <c r="U27" s="16">
        <f t="shared" si="15"/>
        <v>0</v>
      </c>
      <c r="V27" s="8" t="e">
        <f t="shared" si="16"/>
        <v>#N/A</v>
      </c>
      <c r="W27" s="12"/>
      <c r="X27" s="8" t="e">
        <f t="shared" si="17"/>
        <v>#N/A</v>
      </c>
      <c r="Y27" s="8"/>
      <c r="Z27" s="16">
        <f t="shared" si="18"/>
        <v>0</v>
      </c>
      <c r="AA27" s="16">
        <f t="shared" si="19"/>
        <v>0</v>
      </c>
      <c r="AB27" s="16">
        <f t="shared" si="20"/>
        <v>0</v>
      </c>
      <c r="AC27" s="16">
        <f t="shared" si="21"/>
        <v>0</v>
      </c>
      <c r="AD27" s="8" t="e">
        <f t="shared" si="22"/>
        <v>#N/A</v>
      </c>
      <c r="AE27" s="8" t="e">
        <f t="shared" si="23"/>
        <v>#N/A</v>
      </c>
    </row>
    <row r="28" spans="1:31">
      <c r="A28" s="11"/>
      <c r="B28" s="45"/>
      <c r="C28" s="45"/>
      <c r="D28" s="33" t="s">
        <v>49</v>
      </c>
      <c r="E28" s="42"/>
      <c r="F28" s="42"/>
      <c r="G28" s="42"/>
      <c r="H28" s="42"/>
      <c r="I28" s="38" t="s">
        <v>49</v>
      </c>
      <c r="J28" s="13" t="e">
        <f>VLOOKUP(I28,'Döviz Kurları'!$B$8:$C$10,2,0)</f>
        <v>#N/A</v>
      </c>
      <c r="K28" s="14" t="e">
        <f t="shared" si="12"/>
        <v>#N/A</v>
      </c>
      <c r="L28" s="8"/>
      <c r="M28" s="43"/>
      <c r="N28" s="14" t="e">
        <f t="shared" si="13"/>
        <v>#N/A</v>
      </c>
      <c r="O28" s="8"/>
      <c r="P28" s="44" t="s">
        <v>49</v>
      </c>
      <c r="Q28" s="44" t="s">
        <v>49</v>
      </c>
      <c r="R28" s="15" t="s">
        <v>50</v>
      </c>
      <c r="T28" s="16">
        <f t="shared" si="14"/>
        <v>0</v>
      </c>
      <c r="U28" s="16">
        <f t="shared" si="15"/>
        <v>0</v>
      </c>
      <c r="V28" s="8" t="e">
        <f t="shared" si="16"/>
        <v>#N/A</v>
      </c>
      <c r="W28" s="12"/>
      <c r="X28" s="8" t="e">
        <f t="shared" si="17"/>
        <v>#N/A</v>
      </c>
      <c r="Y28" s="8"/>
      <c r="Z28" s="16">
        <f t="shared" si="18"/>
        <v>0</v>
      </c>
      <c r="AA28" s="16">
        <f t="shared" si="19"/>
        <v>0</v>
      </c>
      <c r="AB28" s="16">
        <f t="shared" si="20"/>
        <v>0</v>
      </c>
      <c r="AC28" s="16">
        <f t="shared" si="21"/>
        <v>0</v>
      </c>
      <c r="AD28" s="8" t="e">
        <f t="shared" si="22"/>
        <v>#N/A</v>
      </c>
      <c r="AE28" s="8" t="e">
        <f t="shared" si="23"/>
        <v>#N/A</v>
      </c>
    </row>
    <row r="29" spans="1:31">
      <c r="A29" s="11"/>
      <c r="B29" s="45"/>
      <c r="C29" s="45"/>
      <c r="D29" s="33" t="s">
        <v>49</v>
      </c>
      <c r="E29" s="42"/>
      <c r="F29" s="42"/>
      <c r="G29" s="42"/>
      <c r="H29" s="42"/>
      <c r="I29" s="38" t="s">
        <v>49</v>
      </c>
      <c r="J29" s="13" t="e">
        <f>VLOOKUP(I29,'Döviz Kurları'!$B$8:$C$10,2,0)</f>
        <v>#N/A</v>
      </c>
      <c r="K29" s="14" t="e">
        <f t="shared" si="12"/>
        <v>#N/A</v>
      </c>
      <c r="L29" s="8"/>
      <c r="M29" s="43"/>
      <c r="N29" s="14" t="e">
        <f t="shared" si="13"/>
        <v>#N/A</v>
      </c>
      <c r="O29" s="8"/>
      <c r="P29" s="44" t="s">
        <v>49</v>
      </c>
      <c r="Q29" s="44" t="s">
        <v>49</v>
      </c>
      <c r="R29" s="15" t="s">
        <v>50</v>
      </c>
      <c r="T29" s="16">
        <f t="shared" si="14"/>
        <v>0</v>
      </c>
      <c r="U29" s="16">
        <f t="shared" si="15"/>
        <v>0</v>
      </c>
      <c r="V29" s="8" t="e">
        <f t="shared" si="16"/>
        <v>#N/A</v>
      </c>
      <c r="W29" s="12"/>
      <c r="X29" s="8" t="e">
        <f t="shared" si="17"/>
        <v>#N/A</v>
      </c>
      <c r="Y29" s="8"/>
      <c r="Z29" s="16">
        <f t="shared" si="18"/>
        <v>0</v>
      </c>
      <c r="AA29" s="16">
        <f t="shared" si="19"/>
        <v>0</v>
      </c>
      <c r="AB29" s="16">
        <f t="shared" si="20"/>
        <v>0</v>
      </c>
      <c r="AC29" s="16">
        <f t="shared" si="21"/>
        <v>0</v>
      </c>
      <c r="AD29" s="8" t="e">
        <f t="shared" si="22"/>
        <v>#N/A</v>
      </c>
      <c r="AE29" s="8" t="e">
        <f t="shared" si="23"/>
        <v>#N/A</v>
      </c>
    </row>
    <row r="30" spans="1:31">
      <c r="A30" s="11"/>
      <c r="B30" s="45"/>
      <c r="C30" s="45"/>
      <c r="D30" s="33" t="s">
        <v>49</v>
      </c>
      <c r="E30" s="42"/>
      <c r="F30" s="42"/>
      <c r="G30" s="42"/>
      <c r="H30" s="42"/>
      <c r="I30" s="38" t="s">
        <v>49</v>
      </c>
      <c r="J30" s="13" t="e">
        <f>VLOOKUP(I30,'Döviz Kurları'!$B$8:$C$10,2,0)</f>
        <v>#N/A</v>
      </c>
      <c r="K30" s="14" t="e">
        <f t="shared" si="12"/>
        <v>#N/A</v>
      </c>
      <c r="L30" s="8"/>
      <c r="M30" s="43"/>
      <c r="N30" s="14" t="e">
        <f t="shared" si="13"/>
        <v>#N/A</v>
      </c>
      <c r="O30" s="8"/>
      <c r="P30" s="44" t="s">
        <v>49</v>
      </c>
      <c r="Q30" s="44" t="s">
        <v>49</v>
      </c>
      <c r="R30" s="15" t="s">
        <v>50</v>
      </c>
      <c r="T30" s="16">
        <f t="shared" si="14"/>
        <v>0</v>
      </c>
      <c r="U30" s="16">
        <f t="shared" si="15"/>
        <v>0</v>
      </c>
      <c r="V30" s="8" t="e">
        <f t="shared" si="16"/>
        <v>#N/A</v>
      </c>
      <c r="W30" s="12"/>
      <c r="X30" s="8" t="e">
        <f t="shared" si="17"/>
        <v>#N/A</v>
      </c>
      <c r="Y30" s="8"/>
      <c r="Z30" s="16">
        <f t="shared" si="18"/>
        <v>0</v>
      </c>
      <c r="AA30" s="16">
        <f t="shared" si="19"/>
        <v>0</v>
      </c>
      <c r="AB30" s="16">
        <f t="shared" si="20"/>
        <v>0</v>
      </c>
      <c r="AC30" s="16">
        <f t="shared" si="21"/>
        <v>0</v>
      </c>
      <c r="AD30" s="8" t="e">
        <f t="shared" si="22"/>
        <v>#N/A</v>
      </c>
      <c r="AE30" s="8" t="e">
        <f t="shared" si="23"/>
        <v>#N/A</v>
      </c>
    </row>
    <row r="31" spans="1:31">
      <c r="A31" s="11"/>
      <c r="B31" s="45"/>
      <c r="C31" s="45"/>
      <c r="D31" s="33" t="s">
        <v>49</v>
      </c>
      <c r="E31" s="42"/>
      <c r="F31" s="42"/>
      <c r="G31" s="42"/>
      <c r="H31" s="42"/>
      <c r="I31" s="38" t="s">
        <v>49</v>
      </c>
      <c r="J31" s="13" t="e">
        <f>VLOOKUP(I31,'Döviz Kurları'!$B$8:$C$10,2,0)</f>
        <v>#N/A</v>
      </c>
      <c r="K31" s="14" t="e">
        <f t="shared" si="12"/>
        <v>#N/A</v>
      </c>
      <c r="L31" s="8"/>
      <c r="M31" s="43"/>
      <c r="N31" s="14" t="e">
        <f t="shared" si="13"/>
        <v>#N/A</v>
      </c>
      <c r="O31" s="8"/>
      <c r="P31" s="44" t="s">
        <v>49</v>
      </c>
      <c r="Q31" s="44" t="s">
        <v>49</v>
      </c>
      <c r="R31" s="15" t="s">
        <v>50</v>
      </c>
      <c r="T31" s="16">
        <f t="shared" si="14"/>
        <v>0</v>
      </c>
      <c r="U31" s="16">
        <f t="shared" si="15"/>
        <v>0</v>
      </c>
      <c r="V31" s="8" t="e">
        <f t="shared" si="16"/>
        <v>#N/A</v>
      </c>
      <c r="W31" s="12"/>
      <c r="X31" s="8" t="e">
        <f t="shared" si="17"/>
        <v>#N/A</v>
      </c>
      <c r="Y31" s="8"/>
      <c r="Z31" s="16">
        <f t="shared" si="18"/>
        <v>0</v>
      </c>
      <c r="AA31" s="16">
        <f t="shared" si="19"/>
        <v>0</v>
      </c>
      <c r="AB31" s="16">
        <f t="shared" si="20"/>
        <v>0</v>
      </c>
      <c r="AC31" s="16">
        <f t="shared" si="21"/>
        <v>0</v>
      </c>
      <c r="AD31" s="8" t="e">
        <f t="shared" si="22"/>
        <v>#N/A</v>
      </c>
      <c r="AE31" s="8" t="e">
        <f t="shared" si="23"/>
        <v>#N/A</v>
      </c>
    </row>
    <row r="32" spans="1:31">
      <c r="A32" s="11"/>
      <c r="B32" s="45"/>
      <c r="C32" s="45"/>
      <c r="D32" s="33" t="s">
        <v>49</v>
      </c>
      <c r="E32" s="42"/>
      <c r="F32" s="42"/>
      <c r="G32" s="42"/>
      <c r="H32" s="42"/>
      <c r="I32" s="38" t="s">
        <v>49</v>
      </c>
      <c r="J32" s="13" t="e">
        <f>VLOOKUP(I32,'Döviz Kurları'!$B$8:$C$10,2,0)</f>
        <v>#N/A</v>
      </c>
      <c r="K32" s="14" t="e">
        <f t="shared" si="12"/>
        <v>#N/A</v>
      </c>
      <c r="L32" s="8"/>
      <c r="M32" s="43"/>
      <c r="N32" s="14" t="e">
        <f t="shared" si="13"/>
        <v>#N/A</v>
      </c>
      <c r="O32" s="8"/>
      <c r="P32" s="44" t="s">
        <v>49</v>
      </c>
      <c r="Q32" s="44" t="s">
        <v>49</v>
      </c>
      <c r="R32" s="15" t="s">
        <v>50</v>
      </c>
      <c r="T32" s="16">
        <f t="shared" si="14"/>
        <v>0</v>
      </c>
      <c r="U32" s="16">
        <f t="shared" si="15"/>
        <v>0</v>
      </c>
      <c r="V32" s="8" t="e">
        <f t="shared" si="16"/>
        <v>#N/A</v>
      </c>
      <c r="W32" s="12"/>
      <c r="X32" s="8" t="e">
        <f t="shared" si="17"/>
        <v>#N/A</v>
      </c>
      <c r="Y32" s="8"/>
      <c r="Z32" s="16">
        <f t="shared" si="18"/>
        <v>0</v>
      </c>
      <c r="AA32" s="16">
        <f t="shared" si="19"/>
        <v>0</v>
      </c>
      <c r="AB32" s="16">
        <f t="shared" si="20"/>
        <v>0</v>
      </c>
      <c r="AC32" s="16">
        <f t="shared" si="21"/>
        <v>0</v>
      </c>
      <c r="AD32" s="8" t="e">
        <f t="shared" si="22"/>
        <v>#N/A</v>
      </c>
      <c r="AE32" s="8" t="e">
        <f t="shared" si="23"/>
        <v>#N/A</v>
      </c>
    </row>
    <row r="33" spans="1:31">
      <c r="A33" s="11"/>
      <c r="B33" s="45"/>
      <c r="C33" s="45"/>
      <c r="D33" s="33" t="s">
        <v>49</v>
      </c>
      <c r="E33" s="42"/>
      <c r="F33" s="42"/>
      <c r="G33" s="42"/>
      <c r="H33" s="42"/>
      <c r="I33" s="38" t="s">
        <v>49</v>
      </c>
      <c r="J33" s="13" t="e">
        <f>VLOOKUP(I33,'Döviz Kurları'!$B$8:$C$10,2,0)</f>
        <v>#N/A</v>
      </c>
      <c r="K33" s="14" t="e">
        <f t="shared" si="12"/>
        <v>#N/A</v>
      </c>
      <c r="L33" s="8"/>
      <c r="M33" s="43"/>
      <c r="N33" s="14" t="e">
        <f t="shared" si="13"/>
        <v>#N/A</v>
      </c>
      <c r="O33" s="8"/>
      <c r="P33" s="44" t="s">
        <v>49</v>
      </c>
      <c r="Q33" s="44" t="s">
        <v>49</v>
      </c>
      <c r="R33" s="15" t="s">
        <v>50</v>
      </c>
      <c r="T33" s="16">
        <f t="shared" si="14"/>
        <v>0</v>
      </c>
      <c r="U33" s="16">
        <f t="shared" si="15"/>
        <v>0</v>
      </c>
      <c r="V33" s="8" t="e">
        <f t="shared" si="16"/>
        <v>#N/A</v>
      </c>
      <c r="W33" s="12"/>
      <c r="X33" s="8" t="e">
        <f t="shared" si="17"/>
        <v>#N/A</v>
      </c>
      <c r="Y33" s="8"/>
      <c r="Z33" s="16">
        <f t="shared" si="18"/>
        <v>0</v>
      </c>
      <c r="AA33" s="16">
        <f t="shared" si="19"/>
        <v>0</v>
      </c>
      <c r="AB33" s="16">
        <f t="shared" si="20"/>
        <v>0</v>
      </c>
      <c r="AC33" s="16">
        <f t="shared" si="21"/>
        <v>0</v>
      </c>
      <c r="AD33" s="8" t="e">
        <f t="shared" si="22"/>
        <v>#N/A</v>
      </c>
      <c r="AE33" s="8" t="e">
        <f t="shared" si="23"/>
        <v>#N/A</v>
      </c>
    </row>
    <row r="34" spans="1:31">
      <c r="A34" s="11"/>
      <c r="B34" s="45"/>
      <c r="C34" s="45"/>
      <c r="D34" s="33" t="s">
        <v>49</v>
      </c>
      <c r="E34" s="42"/>
      <c r="F34" s="42"/>
      <c r="G34" s="42"/>
      <c r="H34" s="42"/>
      <c r="I34" s="38" t="s">
        <v>49</v>
      </c>
      <c r="J34" s="13" t="e">
        <f>VLOOKUP(I34,'Döviz Kurları'!$B$8:$C$10,2,0)</f>
        <v>#N/A</v>
      </c>
      <c r="K34" s="14" t="e">
        <f t="shared" si="12"/>
        <v>#N/A</v>
      </c>
      <c r="L34" s="8"/>
      <c r="M34" s="43"/>
      <c r="N34" s="14" t="e">
        <f t="shared" si="13"/>
        <v>#N/A</v>
      </c>
      <c r="O34" s="8"/>
      <c r="P34" s="44" t="s">
        <v>49</v>
      </c>
      <c r="Q34" s="44" t="s">
        <v>49</v>
      </c>
      <c r="R34" s="15" t="s">
        <v>50</v>
      </c>
      <c r="T34" s="16">
        <f t="shared" si="14"/>
        <v>0</v>
      </c>
      <c r="U34" s="16">
        <f t="shared" si="15"/>
        <v>0</v>
      </c>
      <c r="V34" s="8" t="e">
        <f t="shared" si="16"/>
        <v>#N/A</v>
      </c>
      <c r="W34" s="12"/>
      <c r="X34" s="8" t="e">
        <f t="shared" si="17"/>
        <v>#N/A</v>
      </c>
      <c r="Y34" s="8"/>
      <c r="Z34" s="16">
        <f t="shared" si="18"/>
        <v>0</v>
      </c>
      <c r="AA34" s="16">
        <f t="shared" si="19"/>
        <v>0</v>
      </c>
      <c r="AB34" s="16">
        <f t="shared" si="20"/>
        <v>0</v>
      </c>
      <c r="AC34" s="16">
        <f t="shared" si="21"/>
        <v>0</v>
      </c>
      <c r="AD34" s="8" t="e">
        <f t="shared" si="22"/>
        <v>#N/A</v>
      </c>
      <c r="AE34" s="8" t="e">
        <f t="shared" si="23"/>
        <v>#N/A</v>
      </c>
    </row>
    <row r="35" spans="1:31">
      <c r="J35" s="19"/>
      <c r="K35" s="20" t="e">
        <f>SUM(K8:K25)</f>
        <v>#N/A</v>
      </c>
      <c r="L35" s="21"/>
      <c r="M35" s="22"/>
      <c r="N35" s="20" t="e">
        <f>SUM(N8:N25)</f>
        <v>#N/A</v>
      </c>
      <c r="O35" s="21"/>
      <c r="P35" s="23"/>
      <c r="Q35" s="24"/>
      <c r="R35" s="24"/>
      <c r="S35" s="19"/>
      <c r="T35" s="25"/>
      <c r="U35" s="20">
        <f>SUM(U8:U24)</f>
        <v>0</v>
      </c>
      <c r="V35" s="20" t="e">
        <f>SUM(V8:V24)</f>
        <v>#N/A</v>
      </c>
      <c r="W35" s="25"/>
      <c r="X35" s="20" t="e">
        <f>SUM(X8:X24)</f>
        <v>#N/A</v>
      </c>
      <c r="Y35" s="24"/>
      <c r="Z35" s="19"/>
      <c r="AA35" s="19"/>
      <c r="AB35" s="20">
        <f>SUM(AB8:AB24)</f>
        <v>0</v>
      </c>
      <c r="AC35" s="20">
        <f>SUM(AC8:AC24)</f>
        <v>0</v>
      </c>
      <c r="AD35" s="20" t="e">
        <f>SUM(AD8:AD24)</f>
        <v>#N/A</v>
      </c>
      <c r="AE35" s="20" t="e">
        <f>SUM(AE8:AE24)</f>
        <v>#N/A</v>
      </c>
    </row>
    <row r="38" spans="1:31" customFormat="1"/>
    <row r="39" spans="1:31" customFormat="1"/>
    <row r="40" spans="1:31" customFormat="1"/>
    <row r="41" spans="1:31" customFormat="1"/>
    <row r="42" spans="1:31" customFormat="1"/>
    <row r="43" spans="1:31" customFormat="1"/>
    <row r="44" spans="1:31" customFormat="1"/>
    <row r="45" spans="1:31" customFormat="1"/>
    <row r="46" spans="1:31" customFormat="1"/>
    <row r="47" spans="1:31" customFormat="1"/>
    <row r="48" spans="1:31" customFormat="1"/>
    <row r="49" customFormat="1"/>
    <row r="50" customFormat="1"/>
    <row r="51" customFormat="1"/>
    <row r="52" customFormat="1"/>
    <row r="53" customFormat="1"/>
    <row r="54" customFormat="1"/>
    <row r="55" customFormat="1"/>
    <row r="56" customFormat="1"/>
    <row r="57" customFormat="1"/>
  </sheetData>
  <mergeCells count="3">
    <mergeCell ref="E2:R5"/>
    <mergeCell ref="T6:X6"/>
    <mergeCell ref="Z6:AE6"/>
  </mergeCells>
  <dataValidations count="7">
    <dataValidation type="list" allowBlank="1" showInputMessage="1" showErrorMessage="1" sqref="JK35 TG35 ADC35 AMY35 AWU35 BGQ35 BQM35 CAI35 CKE35 CUA35 DDW35 DNS35 DXO35 EHK35 ERG35 FBC35 FKY35 FUU35 GEQ35 GOM35 GYI35 HIE35 HSA35 IBW35 ILS35 IVO35 JFK35 JPG35 JZC35 KIY35 KSU35 LCQ35 LMM35 LWI35 MGE35 MQA35 MZW35 NJS35 NTO35 ODK35 ONG35 OXC35 PGY35 PQU35 QAQ35 QKM35 QUI35 REE35 ROA35 RXW35 SHS35 SRO35 TBK35 TLG35 TVC35 UEY35 UOU35 UYQ35 VIM35 VSI35 WCE35 WMA35 WVW35" xr:uid="{949B0268-16CE-4CF1-B29B-AAC4B61C88B3}">
      <formula1>"Satisfactory, Below Deminimis, to be adjusted, N/A"</formula1>
    </dataValidation>
    <dataValidation type="list" allowBlank="1" showInputMessage="1" showErrorMessage="1" sqref="D8:D34" xr:uid="{7F06BED1-27A3-4915-A345-DAB3758C1A80}">
      <formula1>"Seçiniz, Vadeli Hesap , Vadesiz Hesap , Banka Kredileri"</formula1>
    </dataValidation>
    <dataValidation type="list" allowBlank="1" showInputMessage="1" showErrorMessage="1" sqref="P8:P34" xr:uid="{6AC9F804-0B06-4F14-94C0-04EC1D29FF7C}">
      <formula1>"Seçiniz, Evet, Hayır"</formula1>
    </dataValidation>
    <dataValidation type="list" allowBlank="1" showInputMessage="1" showErrorMessage="1" sqref="Q8:Q34" xr:uid="{EAAC5F4A-CE37-4323-9AC4-9966C6F7CD16}">
      <formula1>"Seçiniz, Banka Teyit Mektubu, Banka Ekstresi"</formula1>
    </dataValidation>
    <dataValidation type="list" allowBlank="1" showInputMessage="1" showErrorMessage="1" sqref="I8:I34" xr:uid="{2868F8BA-D339-4222-84AE-2CD300A5B09F}">
      <formula1>"Seçiniz, TL, USD, EUR, GBP"</formula1>
    </dataValidation>
    <dataValidation type="list" allowBlank="1" showInputMessage="1" showErrorMessage="1" sqref="JC8:JC34 WVO8:WVO34 WLS8:WLS34 WBW8:WBW34 VSA8:VSA34 VIE8:VIE34 UYI8:UYI34 UOM8:UOM34 UEQ8:UEQ34 TUU8:TUU34 TKY8:TKY34 TBC8:TBC34 SRG8:SRG34 SHK8:SHK34 RXO8:RXO34 RNS8:RNS34 RDW8:RDW34 QUA8:QUA34 QKE8:QKE34 QAI8:QAI34 PQM8:PQM34 PGQ8:PGQ34 OWU8:OWU34 OMY8:OMY34 ODC8:ODC34 NTG8:NTG34 NJK8:NJK34 MZO8:MZO34 MPS8:MPS34 MFW8:MFW34 LWA8:LWA34 LME8:LME34 LCI8:LCI34 KSM8:KSM34 KIQ8:KIQ34 JYU8:JYU34 JOY8:JOY34 JFC8:JFC34 IVG8:IVG34 ILK8:ILK34 IBO8:IBO34 HRS8:HRS34 HHW8:HHW34 GYA8:GYA34 GOE8:GOE34 GEI8:GEI34 FUM8:FUM34 FKQ8:FKQ34 FAU8:FAU34 EQY8:EQY34 EHC8:EHC34 DXG8:DXG34 DNK8:DNK34 DDO8:DDO34 CTS8:CTS34 CJW8:CJW34 CAA8:CAA34 BQE8:BQE34 BGI8:BGI34 AWM8:AWM34 AMQ8:AMQ34 ACU8:ACU34 SY8:SY34" xr:uid="{4A8E28B9-698F-4E65-A154-83EAF3F3E26D}">
      <formula1>"Bank Statement, Confirmation, Confirmation &amp; Bank Statement, None"</formula1>
    </dataValidation>
    <dataValidation type="list" allowBlank="1" showInputMessage="1" showErrorMessage="1" sqref="JA8:JB34 WVM8:WVN34 WLQ8:WLR34 WBU8:WBV34 VRY8:VRZ34 VIC8:VID34 UYG8:UYH34 UOK8:UOL34 UEO8:UEP34 TUS8:TUT34 TKW8:TKX34 TBA8:TBB34 SRE8:SRF34 SHI8:SHJ34 RXM8:RXN34 RNQ8:RNR34 RDU8:RDV34 QTY8:QTZ34 QKC8:QKD34 QAG8:QAH34 PQK8:PQL34 PGO8:PGP34 OWS8:OWT34 OMW8:OMX34 ODA8:ODB34 NTE8:NTF34 NJI8:NJJ34 MZM8:MZN34 MPQ8:MPR34 MFU8:MFV34 LVY8:LVZ34 LMC8:LMD34 LCG8:LCH34 KSK8:KSL34 KIO8:KIP34 JYS8:JYT34 JOW8:JOX34 JFA8:JFB34 IVE8:IVF34 ILI8:ILJ34 IBM8:IBN34 HRQ8:HRR34 HHU8:HHV34 GXY8:GXZ34 GOC8:GOD34 GEG8:GEH34 FUK8:FUL34 FKO8:FKP34 FAS8:FAT34 EQW8:EQX34 EHA8:EHB34 DXE8:DXF34 DNI8:DNJ34 DDM8:DDN34 CTQ8:CTR34 CJU8:CJV34 BZY8:BZZ34 BQC8:BQD34 BGG8:BGH34 AWK8:AWL34 AMO8:AMP34 ACS8:ACT34 SW8:SX34" xr:uid="{F656932B-8172-44D9-9E9F-8FDE8C4D864D}">
      <formula1>"Yes, No"</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48B6-13D8-4E3E-8F10-6D704174DEBD}">
  <dimension ref="B5:C11"/>
  <sheetViews>
    <sheetView showGridLines="0" workbookViewId="0">
      <selection activeCell="C11" sqref="C11"/>
    </sheetView>
  </sheetViews>
  <sheetFormatPr defaultColWidth="8.875" defaultRowHeight="14.1"/>
  <cols>
    <col min="2" max="2" width="11.375" customWidth="1"/>
  </cols>
  <sheetData>
    <row r="5" spans="2:3" ht="14.45" thickBot="1"/>
    <row r="6" spans="2:3" ht="14.45" thickBot="1">
      <c r="B6" s="28" t="s">
        <v>51</v>
      </c>
      <c r="C6" s="29" t="s">
        <v>52</v>
      </c>
    </row>
    <row r="7" spans="2:3" ht="14.45" thickBot="1">
      <c r="B7" s="10"/>
      <c r="C7" s="30">
        <v>2019</v>
      </c>
    </row>
    <row r="8" spans="2:3" ht="14.45" thickBot="1">
      <c r="B8" s="10" t="s">
        <v>53</v>
      </c>
      <c r="C8" s="31">
        <v>5.9401999999999999</v>
      </c>
    </row>
    <row r="9" spans="2:3" ht="14.45" thickBot="1">
      <c r="B9" s="10" t="s">
        <v>54</v>
      </c>
      <c r="C9" s="31">
        <v>6.6505999999999998</v>
      </c>
    </row>
    <row r="10" spans="2:3" ht="14.45" thickBot="1">
      <c r="B10" s="10" t="s">
        <v>55</v>
      </c>
      <c r="C10" s="32">
        <v>7.7765000000000004</v>
      </c>
    </row>
    <row r="11" spans="2:3" ht="14.45" thickBot="1">
      <c r="B11" s="6" t="s">
        <v>56</v>
      </c>
      <c r="C11" s="32">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Gökay Önol</dc:creator>
  <cp:keywords/>
  <dc:description/>
  <cp:lastModifiedBy>Hakan Günaydın</cp:lastModifiedBy>
  <cp:revision/>
  <dcterms:created xsi:type="dcterms:W3CDTF">2019-12-27T08:40:29Z</dcterms:created>
  <dcterms:modified xsi:type="dcterms:W3CDTF">2021-12-10T05:45:07Z</dcterms:modified>
  <cp:category/>
  <cp:contentStatus/>
</cp:coreProperties>
</file>