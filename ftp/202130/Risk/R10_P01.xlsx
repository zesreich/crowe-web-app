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syserberst-my.sharepoint.com/personal/hsy365_crowehsy_net/Documents/HSY365/202130/Risk/"/>
    </mc:Choice>
  </mc:AlternateContent>
  <xr:revisionPtr revIDLastSave="1" documentId="13_ncr:1_{D59B9FC5-C0CD-4C2E-B3CE-B3747FA0A1E8}" xr6:coauthVersionLast="47" xr6:coauthVersionMax="47" xr10:uidLastSave="{5A8104C1-0DFE-4931-826A-73D13FAEE32E}"/>
  <bookViews>
    <workbookView xWindow="-108" yWindow="-108" windowWidth="23256" windowHeight="12576" activeTab="1" xr2:uid="{C67B5784-37CA-4648-AA75-1A11AF66FA05}"/>
  </bookViews>
  <sheets>
    <sheet name="C_Kapak" sheetId="3" r:id="rId1"/>
    <sheet name="P01" sheetId="1" r:id="rId2"/>
    <sheet name="Döviz Kurları" sheetId="2" r:id="rId3"/>
  </sheets>
  <definedNames>
    <definedName name="_xlnm.Print_Area" localSheetId="0">C_Kapak!$B$2:$S$45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8" i="1"/>
  <c r="J9" i="1" l="1"/>
  <c r="J10" i="1"/>
  <c r="O12" i="1"/>
  <c r="O13" i="1"/>
  <c r="J17" i="1"/>
  <c r="J18" i="1"/>
  <c r="J20" i="1"/>
  <c r="N14" i="1" l="1"/>
  <c r="J16" i="1"/>
  <c r="J15" i="1"/>
  <c r="J19" i="1"/>
  <c r="J13" i="1"/>
  <c r="J22" i="1"/>
  <c r="J21" i="1"/>
  <c r="J12" i="1"/>
  <c r="J14" i="1"/>
  <c r="J11" i="1"/>
  <c r="J8" i="1"/>
</calcChain>
</file>

<file path=xl/sharedStrings.xml><?xml version="1.0" encoding="utf-8"?>
<sst xmlns="http://schemas.openxmlformats.org/spreadsheetml/2006/main" count="71" uniqueCount="36">
  <si>
    <t>Denetlenen Şirket</t>
  </si>
  <si>
    <t>:</t>
  </si>
  <si>
    <t>….Şirketi</t>
  </si>
  <si>
    <t>Denetim Dönemi</t>
  </si>
  <si>
    <t>Hazırlayan</t>
  </si>
  <si>
    <t>AA</t>
  </si>
  <si>
    <t>aa.aa.2020</t>
  </si>
  <si>
    <t>Kontrol Eden</t>
  </si>
  <si>
    <t>BB</t>
  </si>
  <si>
    <t>bb.bb.2020</t>
  </si>
  <si>
    <t>Onaylayan</t>
  </si>
  <si>
    <t>CC</t>
  </si>
  <si>
    <t>cc.cc.2020</t>
  </si>
  <si>
    <t>C10</t>
  </si>
  <si>
    <t>NAKİT VE NAKİT BENZERLERİ</t>
  </si>
  <si>
    <t>P01</t>
  </si>
  <si>
    <t>Kasa sayımları ile yasal kayıtların mutabakatı</t>
  </si>
  <si>
    <t>Şirketin kasa sayım tutağı ile yasal kayıtlarının mutabakatını yaptık. Bulgularımızı bu çalışma kağıdına not ettik.</t>
  </si>
  <si>
    <t>Ana Hesap Kodu</t>
  </si>
  <si>
    <t>Hesap Adı</t>
  </si>
  <si>
    <t>Orijinal Para Birimi</t>
  </si>
  <si>
    <t>Para Birimi</t>
  </si>
  <si>
    <t>TL Karşılığı</t>
  </si>
  <si>
    <t>Sayım Tutarı</t>
  </si>
  <si>
    <t>Sayım Farkı</t>
  </si>
  <si>
    <t>KASA SAYIM FARKI VARSA ATILACAK OLAN KAYIT</t>
  </si>
  <si>
    <t>Seçiniz</t>
  </si>
  <si>
    <t>Borç</t>
  </si>
  <si>
    <t>Alacak</t>
  </si>
  <si>
    <t>Döviz Kurları</t>
  </si>
  <si>
    <t>Yıllar</t>
  </si>
  <si>
    <t>USD</t>
  </si>
  <si>
    <t>EUR</t>
  </si>
  <si>
    <t>GBP</t>
  </si>
  <si>
    <t>TL</t>
  </si>
  <si>
    <t>cfhzdf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</si>
</sst>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;\(#,##0\);\-\-"/>
    <numFmt numFmtId="165" formatCode="0.0000"/>
  </numFmts>
  <fonts count="19">
    <font>
      <sz val="11"/>
      <color theme="1"/>
      <name val="ArialNarrow"/>
      <family val="2"/>
    </font>
    <font>
      <sz val="11"/>
      <color theme="1"/>
      <name val="Arial Narrow"/>
      <family val="2"/>
      <charset val="162"/>
    </font>
    <font>
      <b/>
      <sz val="11"/>
      <name val="Arial Narrow"/>
      <family val="2"/>
    </font>
    <font>
      <sz val="11"/>
      <color theme="1"/>
      <name val="Calibri"/>
      <family val="2"/>
      <charset val="162"/>
      <scheme val="minor"/>
    </font>
    <font>
      <sz val="10.5"/>
      <name val="Arial Narrow"/>
      <family val="2"/>
    </font>
    <font>
      <sz val="10.5"/>
      <color rgb="FFFFC000"/>
      <name val="Arial Narrow"/>
      <family val="2"/>
    </font>
    <font>
      <b/>
      <sz val="11"/>
      <color rgb="FFFFC000"/>
      <name val="Arial Narrow"/>
      <family val="2"/>
      <charset val="162"/>
    </font>
    <font>
      <b/>
      <sz val="11"/>
      <name val="Arial Narrow"/>
      <family val="2"/>
      <charset val="162"/>
    </font>
    <font>
      <sz val="11"/>
      <color theme="1"/>
      <name val="ArialNarrow"/>
      <family val="2"/>
    </font>
    <font>
      <b/>
      <sz val="10"/>
      <name val="Arial"/>
      <family val="2"/>
    </font>
    <font>
      <sz val="11"/>
      <color rgb="FFFFC000"/>
      <name val="ArialNarrow"/>
      <family val="2"/>
    </font>
    <font>
      <u/>
      <sz val="11"/>
      <color theme="10"/>
      <name val="Calibri"/>
      <family val="2"/>
      <charset val="162"/>
      <scheme val="minor"/>
    </font>
    <font>
      <u/>
      <sz val="10"/>
      <color theme="10"/>
      <name val="Arial Narrow"/>
      <family val="2"/>
      <charset val="162"/>
    </font>
    <font>
      <sz val="10"/>
      <name val="Arial"/>
      <family val="2"/>
    </font>
    <font>
      <sz val="10"/>
      <color theme="3" tint="0.39997558519241921"/>
      <name val="Arial Narrow"/>
      <family val="2"/>
      <charset val="162"/>
    </font>
    <font>
      <b/>
      <sz val="11"/>
      <color theme="1"/>
      <name val="Arial Narrow"/>
      <family val="2"/>
      <charset val="162"/>
    </font>
    <font>
      <b/>
      <sz val="10"/>
      <color rgb="FFFFC000"/>
      <name val="Arial Narrow"/>
      <family val="2"/>
      <charset val="162"/>
    </font>
    <font>
      <b/>
      <sz val="10"/>
      <color theme="3" tint="-0.499984740745262"/>
      <name val="Arial Narrow"/>
      <family val="2"/>
      <charset val="162"/>
    </font>
    <font>
      <b/>
      <u/>
      <sz val="11"/>
      <color theme="10"/>
      <name val="Arial Narrow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14" fontId="9" fillId="6" borderId="9">
      <alignment horizontal="center" vertical="center" wrapText="1"/>
    </xf>
    <xf numFmtId="0" fontId="11" fillId="0" borderId="0" applyNumberFormat="0" applyFill="0" applyBorder="0" applyAlignment="0" applyProtection="0"/>
    <xf numFmtId="0" fontId="13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64" fontId="4" fillId="2" borderId="0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5" fillId="3" borderId="0" xfId="1" applyFont="1" applyFill="1" applyBorder="1" applyAlignment="1">
      <alignment horizontal="right" vertic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left" wrapText="1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4" fontId="6" fillId="3" borderId="10" xfId="3" applyFont="1" applyFill="1" applyBorder="1">
      <alignment horizontal="center" vertical="center" wrapText="1"/>
    </xf>
    <xf numFmtId="43" fontId="10" fillId="3" borderId="10" xfId="2" applyFont="1" applyFill="1" applyBorder="1" applyAlignment="1">
      <alignment horizontal="center"/>
    </xf>
    <xf numFmtId="14" fontId="6" fillId="3" borderId="9" xfId="3" applyFont="1" applyFill="1">
      <alignment horizontal="center" vertical="center" wrapText="1"/>
    </xf>
    <xf numFmtId="0" fontId="6" fillId="3" borderId="10" xfId="3" applyNumberFormat="1" applyFont="1" applyFill="1" applyBorder="1">
      <alignment horizontal="center" vertical="center" wrapText="1"/>
    </xf>
    <xf numFmtId="165" fontId="0" fillId="4" borderId="10" xfId="0" applyNumberFormat="1" applyFill="1" applyBorder="1" applyAlignment="1">
      <alignment horizontal="center"/>
    </xf>
    <xf numFmtId="165" fontId="0" fillId="4" borderId="11" xfId="0" applyNumberFormat="1" applyFill="1" applyBorder="1" applyAlignment="1">
      <alignment horizontal="center"/>
    </xf>
    <xf numFmtId="14" fontId="6" fillId="3" borderId="0" xfId="3" applyFont="1" applyFill="1" applyBorder="1">
      <alignment horizontal="center" vertical="center" wrapText="1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2" fillId="2" borderId="12" xfId="4" applyFont="1" applyFill="1" applyBorder="1"/>
    <xf numFmtId="0" fontId="14" fillId="2" borderId="13" xfId="5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4" fillId="2" borderId="15" xfId="5" applyFont="1" applyFill="1" applyBorder="1"/>
    <xf numFmtId="0" fontId="14" fillId="2" borderId="0" xfId="5" applyFont="1" applyFill="1"/>
    <xf numFmtId="0" fontId="15" fillId="2" borderId="0" xfId="0" applyFont="1" applyFill="1"/>
    <xf numFmtId="0" fontId="1" fillId="2" borderId="19" xfId="0" applyFont="1" applyFill="1" applyBorder="1"/>
    <xf numFmtId="0" fontId="1" fillId="2" borderId="0" xfId="0" applyFont="1" applyFill="1" applyAlignment="1">
      <alignment horizontal="left"/>
    </xf>
    <xf numFmtId="0" fontId="1" fillId="2" borderId="15" xfId="0" applyFont="1" applyFill="1" applyBorder="1"/>
    <xf numFmtId="0" fontId="6" fillId="2" borderId="0" xfId="0" applyFont="1" applyFill="1" applyAlignment="1">
      <alignment horizontal="left"/>
    </xf>
    <xf numFmtId="0" fontId="18" fillId="4" borderId="0" xfId="4" applyFont="1" applyFill="1" applyBorder="1"/>
    <xf numFmtId="0" fontId="18" fillId="2" borderId="0" xfId="4" applyFont="1" applyFill="1" applyBorder="1"/>
    <xf numFmtId="0" fontId="1" fillId="2" borderId="20" xfId="0" applyFont="1" applyFill="1" applyBorder="1"/>
    <xf numFmtId="0" fontId="1" fillId="2" borderId="9" xfId="0" applyFont="1" applyFill="1" applyBorder="1"/>
    <xf numFmtId="0" fontId="1" fillId="2" borderId="21" xfId="0" applyFont="1" applyFill="1" applyBorder="1"/>
    <xf numFmtId="0" fontId="6" fillId="8" borderId="16" xfId="0" applyFont="1" applyFill="1" applyBorder="1" applyAlignment="1">
      <alignment horizontal="left"/>
    </xf>
    <xf numFmtId="0" fontId="6" fillId="8" borderId="17" xfId="0" applyFont="1" applyFill="1" applyBorder="1" applyAlignment="1">
      <alignment horizontal="left"/>
    </xf>
    <xf numFmtId="0" fontId="1" fillId="4" borderId="16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14" fontId="1" fillId="4" borderId="16" xfId="0" applyNumberFormat="1" applyFont="1" applyFill="1" applyBorder="1" applyAlignment="1">
      <alignment horizontal="center"/>
    </xf>
    <xf numFmtId="0" fontId="16" fillId="8" borderId="15" xfId="5" applyFont="1" applyFill="1" applyBorder="1" applyAlignment="1">
      <alignment horizontal="center"/>
    </xf>
    <xf numFmtId="0" fontId="16" fillId="8" borderId="0" xfId="5" applyFont="1" applyFill="1" applyAlignment="1">
      <alignment horizontal="center"/>
    </xf>
    <xf numFmtId="0" fontId="16" fillId="8" borderId="19" xfId="5" applyFont="1" applyFill="1" applyBorder="1" applyAlignment="1">
      <alignment horizontal="center"/>
    </xf>
    <xf numFmtId="0" fontId="17" fillId="4" borderId="15" xfId="5" applyFont="1" applyFill="1" applyBorder="1" applyAlignment="1">
      <alignment horizontal="center"/>
    </xf>
    <xf numFmtId="0" fontId="17" fillId="4" borderId="0" xfId="5" applyFont="1" applyFill="1" applyAlignment="1">
      <alignment horizontal="center"/>
    </xf>
    <xf numFmtId="0" fontId="17" fillId="4" borderId="19" xfId="5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</cellXfs>
  <cellStyles count="6">
    <cellStyle name="Binlik Ayracı 5" xfId="1" xr:uid="{19F8369D-409D-41B4-949B-3E129A0DADD8}"/>
    <cellStyle name="Heading" xfId="3" xr:uid="{0A14D0B7-87E7-463C-B4EA-AA350B7D4C38}"/>
    <cellStyle name="Köprü 2" xfId="4" xr:uid="{910815E4-85C9-4492-82A5-084ED850FE80}"/>
    <cellStyle name="Normal" xfId="0" builtinId="0"/>
    <cellStyle name="Normal 2" xfId="5" xr:uid="{013B81D5-3B49-49CA-8C37-9F783A0DEA88}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3</xdr:row>
      <xdr:rowOff>50800</xdr:rowOff>
    </xdr:from>
    <xdr:to>
      <xdr:col>3</xdr:col>
      <xdr:colOff>528320</xdr:colOff>
      <xdr:row>5</xdr:row>
      <xdr:rowOff>27940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8F943E0-F526-40A3-810E-B07B8EE3D1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025" y="579438"/>
          <a:ext cx="1283970" cy="329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</xdr:row>
      <xdr:rowOff>0</xdr:rowOff>
    </xdr:from>
    <xdr:ext cx="1305137" cy="372957"/>
    <xdr:pic>
      <xdr:nvPicPr>
        <xdr:cNvPr id="2" name="Picture 2">
          <a:extLst>
            <a:ext uri="{FF2B5EF4-FFF2-40B4-BE49-F238E27FC236}">
              <a16:creationId xmlns:a16="http://schemas.microsoft.com/office/drawing/2014/main" id="{51BCFF0D-C49F-4254-B7DF-1D5682A02A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355600"/>
          <a:ext cx="1305137" cy="372957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428837</xdr:colOff>
      <xdr:row>3</xdr:row>
      <xdr:rowOff>33232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52B1518-0A0B-405D-AFF8-C0B9A63449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" y="177800"/>
          <a:ext cx="1292437" cy="38883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6E07-9BD6-4881-BC12-2FE1D58E65A1}">
  <sheetPr>
    <pageSetUpPr fitToPage="1"/>
  </sheetPr>
  <dimension ref="B1:S45"/>
  <sheetViews>
    <sheetView showGridLines="0" view="pageBreakPreview" zoomScale="60" zoomScaleNormal="90" workbookViewId="0">
      <selection activeCell="D47" sqref="D47"/>
    </sheetView>
  </sheetViews>
  <sheetFormatPr defaultColWidth="8.59765625" defaultRowHeight="13.8"/>
  <cols>
    <col min="1" max="16384" width="8.59765625" style="4"/>
  </cols>
  <sheetData>
    <row r="1" spans="2:19" ht="14.4" thickBot="1"/>
    <row r="2" spans="2:19" ht="15" thickBot="1">
      <c r="B2" s="27"/>
      <c r="C2" s="28"/>
      <c r="D2" s="28"/>
      <c r="E2" s="28"/>
      <c r="F2" s="28"/>
      <c r="G2" s="28"/>
      <c r="H2" s="28"/>
      <c r="I2" s="28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2:19" ht="15" thickBot="1">
      <c r="B3" s="31"/>
      <c r="C3" s="32"/>
      <c r="D3" s="32"/>
      <c r="E3" s="32"/>
      <c r="F3" s="32"/>
      <c r="G3" s="32"/>
      <c r="H3" s="32"/>
      <c r="I3" s="32"/>
      <c r="K3" s="43" t="s">
        <v>0</v>
      </c>
      <c r="L3" s="44"/>
      <c r="M3" s="33" t="s">
        <v>1</v>
      </c>
      <c r="N3" s="45" t="s">
        <v>2</v>
      </c>
      <c r="O3" s="46"/>
      <c r="P3" s="47"/>
      <c r="Q3" s="7"/>
      <c r="R3" s="7"/>
      <c r="S3" s="34"/>
    </row>
    <row r="4" spans="2:19" ht="15" thickBot="1">
      <c r="B4" s="31"/>
      <c r="C4" s="32"/>
      <c r="D4" s="32"/>
      <c r="E4" s="32"/>
      <c r="F4" s="32"/>
      <c r="G4" s="32"/>
      <c r="H4" s="32"/>
      <c r="I4" s="32"/>
      <c r="K4" s="35"/>
      <c r="L4" s="35"/>
      <c r="S4" s="34"/>
    </row>
    <row r="5" spans="2:19" ht="15" thickBot="1">
      <c r="B5" s="31"/>
      <c r="C5" s="32"/>
      <c r="D5" s="32"/>
      <c r="E5" s="32"/>
      <c r="F5" s="32"/>
      <c r="G5" s="32"/>
      <c r="H5" s="32"/>
      <c r="I5" s="32"/>
      <c r="K5" s="43" t="s">
        <v>3</v>
      </c>
      <c r="L5" s="44"/>
      <c r="M5" s="33" t="s">
        <v>1</v>
      </c>
      <c r="N5" s="48">
        <v>44196</v>
      </c>
      <c r="O5" s="46"/>
      <c r="P5" s="47"/>
      <c r="S5" s="34"/>
    </row>
    <row r="6" spans="2:19" ht="15" thickBot="1">
      <c r="B6" s="31"/>
      <c r="C6" s="32"/>
      <c r="D6" s="32"/>
      <c r="E6" s="32"/>
      <c r="F6" s="32"/>
      <c r="G6" s="32"/>
      <c r="H6" s="32"/>
      <c r="I6" s="32"/>
      <c r="K6" s="35"/>
      <c r="L6" s="35"/>
      <c r="S6" s="34"/>
    </row>
    <row r="7" spans="2:19" ht="15" thickBot="1">
      <c r="B7" s="31"/>
      <c r="C7" s="32"/>
      <c r="D7" s="32"/>
      <c r="E7" s="32"/>
      <c r="F7" s="32"/>
      <c r="G7" s="32"/>
      <c r="H7" s="32"/>
      <c r="I7" s="32"/>
      <c r="K7" s="43" t="s">
        <v>4</v>
      </c>
      <c r="L7" s="44"/>
      <c r="M7" s="33" t="s">
        <v>1</v>
      </c>
      <c r="N7" s="45" t="s">
        <v>5</v>
      </c>
      <c r="O7" s="47"/>
      <c r="Q7" s="48" t="s">
        <v>6</v>
      </c>
      <c r="R7" s="47"/>
      <c r="S7" s="34"/>
    </row>
    <row r="8" spans="2:19" ht="15" thickBot="1">
      <c r="B8" s="31"/>
      <c r="C8" s="32"/>
      <c r="D8" s="32"/>
      <c r="E8" s="32"/>
      <c r="F8" s="32"/>
      <c r="G8" s="32"/>
      <c r="H8" s="32"/>
      <c r="I8" s="32"/>
      <c r="S8" s="34"/>
    </row>
    <row r="9" spans="2:19" ht="15" thickBot="1">
      <c r="B9" s="31"/>
      <c r="C9" s="32"/>
      <c r="D9" s="32"/>
      <c r="E9" s="32"/>
      <c r="F9" s="32"/>
      <c r="G9" s="32"/>
      <c r="H9" s="32"/>
      <c r="I9" s="32"/>
      <c r="K9" s="43" t="s">
        <v>7</v>
      </c>
      <c r="L9" s="44"/>
      <c r="M9" s="33" t="s">
        <v>1</v>
      </c>
      <c r="N9" s="45" t="s">
        <v>8</v>
      </c>
      <c r="O9" s="47"/>
      <c r="Q9" s="48" t="s">
        <v>9</v>
      </c>
      <c r="R9" s="47"/>
      <c r="S9" s="34"/>
    </row>
    <row r="10" spans="2:19" ht="14.4" thickBot="1">
      <c r="B10" s="36"/>
      <c r="S10" s="34"/>
    </row>
    <row r="11" spans="2:19" ht="14.4" thickBot="1">
      <c r="B11" s="36"/>
      <c r="K11" s="43" t="s">
        <v>10</v>
      </c>
      <c r="L11" s="44"/>
      <c r="M11" s="33" t="s">
        <v>1</v>
      </c>
      <c r="N11" s="45" t="s">
        <v>11</v>
      </c>
      <c r="O11" s="47"/>
      <c r="Q11" s="48" t="s">
        <v>12</v>
      </c>
      <c r="R11" s="47"/>
      <c r="S11" s="34"/>
    </row>
    <row r="12" spans="2:19">
      <c r="B12" s="36"/>
      <c r="K12" s="37"/>
      <c r="L12" s="37"/>
      <c r="M12" s="33"/>
      <c r="N12" s="7"/>
      <c r="O12" s="7"/>
      <c r="Q12" s="7"/>
      <c r="R12" s="7"/>
      <c r="S12" s="34"/>
    </row>
    <row r="13" spans="2:19">
      <c r="B13" s="36"/>
      <c r="K13" s="37"/>
      <c r="L13" s="37"/>
      <c r="M13" s="33"/>
      <c r="N13" s="7"/>
      <c r="O13" s="7"/>
      <c r="Q13" s="7"/>
      <c r="R13" s="7"/>
      <c r="S13" s="34"/>
    </row>
    <row r="14" spans="2:19">
      <c r="B14" s="36"/>
      <c r="K14" s="37"/>
      <c r="L14" s="37"/>
      <c r="M14" s="33"/>
      <c r="N14" s="7"/>
      <c r="O14" s="7"/>
      <c r="Q14" s="7"/>
      <c r="R14" s="7"/>
      <c r="S14" s="34"/>
    </row>
    <row r="15" spans="2:19">
      <c r="B15" s="36"/>
      <c r="K15" s="37"/>
      <c r="L15" s="37"/>
      <c r="M15" s="33"/>
      <c r="N15" s="7"/>
      <c r="O15" s="7"/>
      <c r="Q15" s="7"/>
      <c r="R15" s="7"/>
      <c r="S15" s="34"/>
    </row>
    <row r="16" spans="2:19">
      <c r="B16" s="36"/>
      <c r="K16" s="37"/>
      <c r="L16" s="37"/>
      <c r="M16" s="33"/>
      <c r="N16" s="7"/>
      <c r="O16" s="7"/>
      <c r="Q16" s="7"/>
      <c r="R16" s="7"/>
      <c r="S16" s="34"/>
    </row>
    <row r="17" spans="2:19">
      <c r="B17" s="36"/>
      <c r="K17" s="37"/>
      <c r="L17" s="37"/>
      <c r="M17" s="33"/>
      <c r="N17" s="7"/>
      <c r="O17" s="7"/>
      <c r="Q17" s="7"/>
      <c r="R17" s="7"/>
      <c r="S17" s="34"/>
    </row>
    <row r="18" spans="2:19">
      <c r="B18" s="36"/>
      <c r="K18" s="37"/>
      <c r="L18" s="37"/>
      <c r="M18" s="33"/>
      <c r="N18" s="7"/>
      <c r="O18" s="7"/>
      <c r="Q18" s="7"/>
      <c r="R18" s="7"/>
      <c r="S18" s="34"/>
    </row>
    <row r="19" spans="2:19">
      <c r="B19" s="36"/>
      <c r="K19" s="37"/>
      <c r="L19" s="37"/>
      <c r="M19" s="33"/>
      <c r="N19" s="7"/>
      <c r="O19" s="7"/>
      <c r="Q19" s="7"/>
      <c r="R19" s="7"/>
      <c r="S19" s="34"/>
    </row>
    <row r="20" spans="2:19">
      <c r="B20" s="36"/>
      <c r="K20" s="37"/>
      <c r="L20" s="37"/>
      <c r="M20" s="33"/>
      <c r="N20" s="7"/>
      <c r="O20" s="7"/>
      <c r="Q20" s="7"/>
      <c r="R20" s="7"/>
      <c r="S20" s="34"/>
    </row>
    <row r="21" spans="2:19">
      <c r="B21" s="36"/>
      <c r="K21" s="37"/>
      <c r="L21" s="37"/>
      <c r="M21" s="33"/>
      <c r="N21" s="7"/>
      <c r="O21" s="7"/>
      <c r="Q21" s="7"/>
      <c r="R21" s="7"/>
      <c r="S21" s="34"/>
    </row>
    <row r="22" spans="2:19">
      <c r="B22" s="36"/>
      <c r="K22" s="37"/>
      <c r="L22" s="37"/>
      <c r="M22" s="33"/>
      <c r="N22" s="7"/>
      <c r="O22" s="7"/>
      <c r="Q22" s="7"/>
      <c r="R22" s="7"/>
      <c r="S22" s="34"/>
    </row>
    <row r="23" spans="2:19">
      <c r="B23" s="36"/>
      <c r="K23" s="37"/>
      <c r="L23" s="37"/>
      <c r="M23" s="33"/>
      <c r="N23" s="7"/>
      <c r="O23" s="7"/>
      <c r="Q23" s="7"/>
      <c r="R23" s="7"/>
      <c r="S23" s="34"/>
    </row>
    <row r="24" spans="2:19" ht="14.4">
      <c r="B24" s="31"/>
      <c r="C24" s="32"/>
      <c r="D24" s="32"/>
      <c r="E24" s="32"/>
      <c r="F24" s="32"/>
      <c r="G24" s="32"/>
      <c r="H24" s="32"/>
      <c r="I24" s="32"/>
      <c r="S24" s="34"/>
    </row>
    <row r="25" spans="2:19" ht="14.4">
      <c r="B25" s="49" t="s">
        <v>13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1"/>
    </row>
    <row r="26" spans="2:19" ht="14.4">
      <c r="B26" s="52" t="s">
        <v>14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4"/>
    </row>
    <row r="27" spans="2:19" ht="14.4">
      <c r="B27" s="31"/>
      <c r="C27" s="32"/>
      <c r="D27" s="32"/>
      <c r="E27" s="32"/>
      <c r="F27" s="32"/>
      <c r="G27" s="32"/>
      <c r="H27" s="32"/>
      <c r="I27" s="32"/>
      <c r="S27" s="34"/>
    </row>
    <row r="28" spans="2:19" ht="14.4">
      <c r="B28" s="31"/>
      <c r="D28" s="32"/>
      <c r="E28" s="32"/>
      <c r="F28" s="32"/>
      <c r="G28" s="32"/>
      <c r="H28" s="32"/>
      <c r="I28" s="32"/>
      <c r="S28" s="34"/>
    </row>
    <row r="29" spans="2:19" ht="14.4">
      <c r="B29" s="31"/>
      <c r="D29" s="32"/>
      <c r="E29" s="32"/>
      <c r="F29" s="32"/>
      <c r="G29" s="32"/>
      <c r="H29" s="32"/>
      <c r="I29" s="32"/>
      <c r="S29" s="34"/>
    </row>
    <row r="30" spans="2:19" ht="14.4">
      <c r="B30" s="31"/>
      <c r="C30" s="38" t="s">
        <v>15</v>
      </c>
      <c r="D30" s="4" t="s">
        <v>16</v>
      </c>
      <c r="S30" s="34"/>
    </row>
    <row r="31" spans="2:19" ht="14.4">
      <c r="B31" s="31"/>
      <c r="C31"/>
      <c r="D31"/>
      <c r="E31"/>
      <c r="F31"/>
      <c r="G31"/>
      <c r="H31"/>
      <c r="I31"/>
      <c r="J31"/>
      <c r="K31"/>
      <c r="L31"/>
      <c r="S31" s="34"/>
    </row>
    <row r="32" spans="2:19" ht="14.4">
      <c r="B32" s="31"/>
      <c r="C32" s="39"/>
      <c r="I32" s="32"/>
      <c r="S32" s="34"/>
    </row>
    <row r="33" spans="2:19" ht="14.4">
      <c r="B33" s="31"/>
      <c r="C33" s="39"/>
      <c r="I33" s="32"/>
      <c r="S33" s="34"/>
    </row>
    <row r="34" spans="2:19" ht="14.4">
      <c r="B34" s="31"/>
      <c r="C34" s="39"/>
      <c r="I34" s="32"/>
      <c r="S34" s="34"/>
    </row>
    <row r="35" spans="2:19" ht="14.4">
      <c r="B35" s="31"/>
      <c r="C35" s="39"/>
      <c r="I35" s="32"/>
      <c r="S35" s="34"/>
    </row>
    <row r="36" spans="2:19" ht="14.4">
      <c r="B36" s="31"/>
      <c r="I36" s="32"/>
      <c r="S36" s="34"/>
    </row>
    <row r="37" spans="2:19" ht="14.4">
      <c r="B37" s="31"/>
      <c r="C37" s="39"/>
      <c r="I37" s="32"/>
      <c r="S37" s="34"/>
    </row>
    <row r="38" spans="2:19" ht="14.4">
      <c r="B38" s="31"/>
      <c r="C38" s="39"/>
      <c r="I38" s="32"/>
      <c r="S38" s="34"/>
    </row>
    <row r="39" spans="2:19" ht="14.4">
      <c r="B39" s="31"/>
      <c r="C39" s="39"/>
      <c r="I39" s="32"/>
      <c r="S39" s="34"/>
    </row>
    <row r="40" spans="2:19" ht="14.4">
      <c r="B40" s="31"/>
      <c r="C40" s="39"/>
      <c r="I40" s="32"/>
      <c r="S40" s="34"/>
    </row>
    <row r="41" spans="2:19" ht="14.4">
      <c r="B41" s="31"/>
      <c r="S41" s="34"/>
    </row>
    <row r="42" spans="2:19" ht="14.4">
      <c r="B42" s="31"/>
      <c r="S42" s="34"/>
    </row>
    <row r="43" spans="2:19">
      <c r="B43" s="36"/>
      <c r="S43" s="34"/>
    </row>
    <row r="44" spans="2:19">
      <c r="B44" s="36"/>
      <c r="S44" s="34"/>
    </row>
    <row r="45" spans="2:19" ht="14.4" thickBot="1"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2"/>
    </row>
  </sheetData>
  <mergeCells count="15">
    <mergeCell ref="B25:S25"/>
    <mergeCell ref="B26:S26"/>
    <mergeCell ref="Q7:R7"/>
    <mergeCell ref="K9:L9"/>
    <mergeCell ref="N9:O9"/>
    <mergeCell ref="Q9:R9"/>
    <mergeCell ref="K11:L11"/>
    <mergeCell ref="N11:O11"/>
    <mergeCell ref="Q11:R11"/>
    <mergeCell ref="K3:L3"/>
    <mergeCell ref="N3:P3"/>
    <mergeCell ref="K5:L5"/>
    <mergeCell ref="N5:P5"/>
    <mergeCell ref="K7:L7"/>
    <mergeCell ref="N7:O7"/>
  </mergeCells>
  <hyperlinks>
    <hyperlink ref="C30" location="B01.07_Onemli_Yan_Riskleri!B5" display="B01.07" xr:uid="{444BEE1B-A036-48E3-9749-7F9069F04188}"/>
  </hyperlinks>
  <pageMargins left="0.7" right="0.7" top="0.75" bottom="0.75" header="0.3" footer="0.3"/>
  <pageSetup paperSize="9" scale="5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B663-F4C4-4BFD-A9F8-B7300C6861D3}">
  <sheetPr>
    <tabColor rgb="FFFFC000"/>
  </sheetPr>
  <dimension ref="A1:O38"/>
  <sheetViews>
    <sheetView showGridLines="0" tabSelected="1" zoomScale="60" zoomScaleNormal="60" workbookViewId="0">
      <selection activeCell="L29" sqref="L29"/>
    </sheetView>
  </sheetViews>
  <sheetFormatPr defaultColWidth="8.8984375" defaultRowHeight="13.8"/>
  <cols>
    <col min="1" max="1" width="8.8984375" style="1"/>
    <col min="2" max="2" width="13.59765625" style="3" customWidth="1"/>
    <col min="3" max="3" width="9.69921875" style="3" customWidth="1"/>
    <col min="4" max="4" width="16.19921875" style="3" customWidth="1"/>
    <col min="5" max="5" width="12.09765625" style="3" customWidth="1"/>
    <col min="6" max="6" width="15.5" style="3" customWidth="1"/>
    <col min="7" max="7" width="18.5" style="3" bestFit="1" customWidth="1"/>
    <col min="8" max="8" width="12.3984375" style="3" bestFit="1" customWidth="1"/>
    <col min="9" max="9" width="27.5" style="3" bestFit="1" customWidth="1"/>
    <col min="10" max="10" width="9.59765625" style="3" customWidth="1"/>
    <col min="11" max="11" width="22.09765625" style="2" bestFit="1" customWidth="1"/>
    <col min="12" max="12" width="14.8984375" style="2" bestFit="1" customWidth="1"/>
    <col min="13" max="13" width="8.8984375" style="2"/>
    <col min="14" max="14" width="16.09765625" style="2" bestFit="1" customWidth="1"/>
    <col min="15" max="15" width="22.19921875" style="2" bestFit="1" customWidth="1"/>
    <col min="16" max="17" width="8.8984375" style="1"/>
    <col min="18" max="18" width="21.09765625" style="1" bestFit="1" customWidth="1"/>
    <col min="19" max="20" width="13.5" style="1" customWidth="1"/>
    <col min="21" max="16384" width="8.8984375" style="1"/>
  </cols>
  <sheetData>
    <row r="1" spans="2:15">
      <c r="K1" s="8"/>
      <c r="L1" s="8"/>
      <c r="M1" s="8"/>
      <c r="N1" s="8"/>
      <c r="O1" s="8"/>
    </row>
    <row r="2" spans="2:15" ht="13.95" customHeight="1">
      <c r="E2" s="55" t="s">
        <v>17</v>
      </c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2:15">
      <c r="E3" s="58"/>
      <c r="F3" s="59"/>
      <c r="G3" s="59"/>
      <c r="H3" s="59"/>
      <c r="I3" s="59"/>
      <c r="J3" s="59"/>
      <c r="K3" s="59"/>
      <c r="L3" s="59"/>
      <c r="M3" s="59"/>
      <c r="N3" s="59"/>
      <c r="O3" s="60"/>
    </row>
    <row r="4" spans="2:15">
      <c r="E4" s="61"/>
      <c r="F4" s="62"/>
      <c r="G4" s="62"/>
      <c r="H4" s="62"/>
      <c r="I4" s="62"/>
      <c r="J4" s="62"/>
      <c r="K4" s="62"/>
      <c r="L4" s="62"/>
      <c r="M4" s="62"/>
      <c r="N4" s="62"/>
      <c r="O4" s="63"/>
    </row>
    <row r="5" spans="2:15">
      <c r="E5" s="17"/>
      <c r="F5" s="17"/>
      <c r="G5" s="17"/>
      <c r="I5" s="16"/>
      <c r="J5" s="16"/>
      <c r="K5" s="16"/>
      <c r="L5" s="16"/>
      <c r="M5" s="16"/>
      <c r="N5" s="16"/>
      <c r="O5" s="16"/>
    </row>
    <row r="6" spans="2:15">
      <c r="K6" s="1"/>
      <c r="L6" s="8"/>
      <c r="M6" s="8"/>
      <c r="N6" s="8"/>
      <c r="O6" s="8"/>
    </row>
    <row r="7" spans="2:15" s="15" customFormat="1">
      <c r="B7" s="13" t="s">
        <v>18</v>
      </c>
      <c r="C7" s="13" t="s">
        <v>19</v>
      </c>
      <c r="D7" s="13" t="s">
        <v>20</v>
      </c>
      <c r="E7" s="13" t="s">
        <v>21</v>
      </c>
      <c r="F7" s="13" t="s">
        <v>22</v>
      </c>
      <c r="G7" s="13" t="s">
        <v>23</v>
      </c>
      <c r="H7" s="13" t="s">
        <v>21</v>
      </c>
      <c r="I7" s="13" t="s">
        <v>22</v>
      </c>
      <c r="J7" s="13" t="s">
        <v>24</v>
      </c>
      <c r="K7" s="8"/>
      <c r="L7" s="64" t="s">
        <v>25</v>
      </c>
      <c r="M7" s="64"/>
      <c r="N7" s="64"/>
      <c r="O7" s="64"/>
    </row>
    <row r="8" spans="2:15">
      <c r="B8" s="25"/>
      <c r="C8" s="25"/>
      <c r="D8" s="25"/>
      <c r="E8" s="25" t="s">
        <v>26</v>
      </c>
      <c r="F8" s="4">
        <v>0</v>
      </c>
      <c r="G8" s="25"/>
      <c r="H8" s="25" t="s">
        <v>26</v>
      </c>
      <c r="I8" s="4">
        <f>IF(H8="TL",G8*1,IF(H8="USD",G8*'Döviz Kurları'!$C$8,IF(H8="EUR",G8*'Döviz Kurları'!$C$9,IF(H8="GBP",G8*'Döviz Kurları'!$C$10,0))))</f>
        <v>0</v>
      </c>
      <c r="J8" s="7">
        <f t="shared" ref="J8:J22" si="0">F8-I8</f>
        <v>0</v>
      </c>
      <c r="K8" s="6"/>
      <c r="L8" s="14"/>
      <c r="M8" s="14"/>
      <c r="N8" s="14"/>
      <c r="O8" s="14"/>
    </row>
    <row r="9" spans="2:15">
      <c r="B9" s="26"/>
      <c r="C9" s="26"/>
      <c r="D9" s="26"/>
      <c r="E9" s="25" t="s">
        <v>26</v>
      </c>
      <c r="F9" s="4">
        <v>0</v>
      </c>
      <c r="G9" s="26"/>
      <c r="H9" s="25" t="s">
        <v>26</v>
      </c>
      <c r="I9" s="4">
        <f>IF(H9="TL",G9*1,IF(H9="USD",G9*'Döviz Kurları'!$C$8,IF(H9="EUR",G9*'Döviz Kurları'!$C$9,IF(H9="GBP",G9*'Döviz Kurları'!$C$10,0))))</f>
        <v>0</v>
      </c>
      <c r="J9" s="7">
        <f t="shared" si="0"/>
        <v>0</v>
      </c>
      <c r="K9" s="6"/>
      <c r="L9" s="14"/>
      <c r="M9" s="14"/>
      <c r="N9" s="14"/>
      <c r="O9" s="14"/>
    </row>
    <row r="10" spans="2:15">
      <c r="B10" s="26"/>
      <c r="C10" s="26"/>
      <c r="D10" s="26"/>
      <c r="E10" s="25" t="s">
        <v>26</v>
      </c>
      <c r="F10" s="4">
        <v>0</v>
      </c>
      <c r="G10" s="26"/>
      <c r="H10" s="25" t="s">
        <v>26</v>
      </c>
      <c r="I10" s="4">
        <f>IF(H10="TL",G10*1,IF(H10="USD",G10*'Döviz Kurları'!$C$8,IF(H10="EUR",G10*'Döviz Kurları'!$C$9,IF(H10="GBP",G10*'Döviz Kurları'!$C$10,0))))</f>
        <v>0</v>
      </c>
      <c r="J10" s="7">
        <f t="shared" si="0"/>
        <v>0</v>
      </c>
      <c r="K10" s="6"/>
      <c r="L10" s="1"/>
      <c r="M10" s="1"/>
      <c r="N10" s="1"/>
      <c r="O10" s="1"/>
    </row>
    <row r="11" spans="2:15">
      <c r="B11" s="26"/>
      <c r="C11" s="26"/>
      <c r="D11" s="26"/>
      <c r="E11" s="25" t="s">
        <v>26</v>
      </c>
      <c r="F11" s="4">
        <v>0</v>
      </c>
      <c r="G11" s="26"/>
      <c r="H11" s="25" t="s">
        <v>26</v>
      </c>
      <c r="I11" s="4">
        <f>IF(H11="TL",G11*1,IF(H11="USD",G11*'Döviz Kurları'!$C$8,IF(H11="EUR",G11*'Döviz Kurları'!$C$9,IF(H11="GBP",G11*'Döviz Kurları'!$C$10,0))))</f>
        <v>0</v>
      </c>
      <c r="J11" s="7">
        <f t="shared" si="0"/>
        <v>0</v>
      </c>
      <c r="K11" s="6"/>
      <c r="L11" s="12"/>
      <c r="M11" s="12"/>
      <c r="N11" s="13" t="s">
        <v>27</v>
      </c>
      <c r="O11" s="13" t="s">
        <v>28</v>
      </c>
    </row>
    <row r="12" spans="2:15">
      <c r="B12" s="26"/>
      <c r="C12" s="26"/>
      <c r="D12" s="26"/>
      <c r="E12" s="25" t="s">
        <v>26</v>
      </c>
      <c r="F12" s="4">
        <v>0</v>
      </c>
      <c r="G12" s="26"/>
      <c r="H12" s="25" t="s">
        <v>26</v>
      </c>
      <c r="I12" s="4">
        <f>IF(H12="TL",G12*1,IF(H12="USD",G12*'Döviz Kurları'!$C$8,IF(H12="EUR",G12*'Döviz Kurları'!$C$9,IF(H12="GBP",G12*'Döviz Kurları'!$C$10,0))))</f>
        <v>0</v>
      </c>
      <c r="J12" s="7">
        <f t="shared" si="0"/>
        <v>0</v>
      </c>
      <c r="K12" s="6"/>
      <c r="L12" s="12"/>
      <c r="M12" s="12">
        <v>100</v>
      </c>
      <c r="N12" s="10"/>
      <c r="O12" s="10">
        <f>SUMIF($B$8:$B$1048576,M12,$J$8:$J$1048576)</f>
        <v>0</v>
      </c>
    </row>
    <row r="13" spans="2:15">
      <c r="B13" s="26"/>
      <c r="C13" s="26"/>
      <c r="D13" s="26"/>
      <c r="E13" s="25" t="s">
        <v>26</v>
      </c>
      <c r="F13" s="4">
        <v>0</v>
      </c>
      <c r="G13" s="26"/>
      <c r="H13" s="25" t="s">
        <v>26</v>
      </c>
      <c r="I13" s="4">
        <f>IF(H13="TL",G13*1,IF(H13="USD",G13*'Döviz Kurları'!$C$8,IF(H13="EUR",G13*'Döviz Kurları'!$C$9,IF(H13="GBP",G13*'Döviz Kurları'!$C$10,0))))</f>
        <v>0</v>
      </c>
      <c r="J13" s="7">
        <f t="shared" si="0"/>
        <v>0</v>
      </c>
      <c r="K13" s="6"/>
      <c r="L13" s="11"/>
      <c r="M13" s="11">
        <v>101</v>
      </c>
      <c r="N13" s="10"/>
      <c r="O13" s="10">
        <f>SUMIF($B$8:$B$1048576,M13,$J$8:$J$1048576)</f>
        <v>0</v>
      </c>
    </row>
    <row r="14" spans="2:15">
      <c r="B14" s="26"/>
      <c r="C14" s="26"/>
      <c r="D14" s="26"/>
      <c r="E14" s="25" t="s">
        <v>26</v>
      </c>
      <c r="F14" s="4">
        <v>0</v>
      </c>
      <c r="G14" s="26"/>
      <c r="H14" s="25" t="s">
        <v>26</v>
      </c>
      <c r="I14" s="4">
        <f>IF(H14="TL",G14*1,IF(H14="USD",G14*'Döviz Kurları'!$C$8,IF(H14="EUR",G14*'Döviz Kurları'!$C$9,IF(H14="GBP",G14*'Döviz Kurları'!$C$10,0))))</f>
        <v>0</v>
      </c>
      <c r="J14" s="7">
        <f t="shared" si="0"/>
        <v>0</v>
      </c>
      <c r="K14" s="6"/>
      <c r="L14" s="11">
        <v>131</v>
      </c>
      <c r="M14" s="11"/>
      <c r="N14" s="10">
        <f>O12+O13</f>
        <v>0</v>
      </c>
      <c r="O14" s="10"/>
    </row>
    <row r="15" spans="2:15">
      <c r="B15" s="26"/>
      <c r="C15" s="26"/>
      <c r="D15" s="26"/>
      <c r="E15" s="25" t="s">
        <v>26</v>
      </c>
      <c r="F15" s="4">
        <v>0</v>
      </c>
      <c r="G15" s="26"/>
      <c r="H15" s="25" t="s">
        <v>26</v>
      </c>
      <c r="I15" s="4">
        <f>IF(H15="TL",G15*1,IF(H15="USD",G15*'Döviz Kurları'!$C$8,IF(H15="EUR",G15*'Döviz Kurları'!$C$9,IF(H15="GBP",G15*'Döviz Kurları'!$C$10,0))))</f>
        <v>0</v>
      </c>
      <c r="J15" s="7">
        <f t="shared" si="0"/>
        <v>0</v>
      </c>
      <c r="K15" s="6"/>
      <c r="L15" s="9"/>
      <c r="M15" s="9"/>
      <c r="N15" s="9"/>
      <c r="O15" s="9"/>
    </row>
    <row r="16" spans="2:15">
      <c r="B16" s="26"/>
      <c r="C16" s="26"/>
      <c r="D16" s="26"/>
      <c r="E16" s="25" t="s">
        <v>26</v>
      </c>
      <c r="F16" s="4">
        <v>0</v>
      </c>
      <c r="G16" s="26"/>
      <c r="H16" s="25" t="s">
        <v>26</v>
      </c>
      <c r="I16" s="4">
        <f>IF(H16="TL",G16*1,IF(H16="USD",G16*'Döviz Kurları'!$C$8,IF(H16="EUR",G16*'Döviz Kurları'!$C$9,IF(H16="GBP",G16*'Döviz Kurları'!$C$10,0))))</f>
        <v>0</v>
      </c>
      <c r="J16" s="7">
        <f t="shared" si="0"/>
        <v>0</v>
      </c>
      <c r="K16" s="6"/>
      <c r="L16" s="8"/>
      <c r="M16" s="8"/>
      <c r="N16" s="8"/>
      <c r="O16" s="8"/>
    </row>
    <row r="17" spans="1:15">
      <c r="B17" s="26"/>
      <c r="C17" s="26"/>
      <c r="D17" s="26"/>
      <c r="E17" s="25" t="s">
        <v>26</v>
      </c>
      <c r="F17" s="4">
        <v>0</v>
      </c>
      <c r="G17" s="26"/>
      <c r="H17" s="25" t="s">
        <v>26</v>
      </c>
      <c r="I17" s="4">
        <f>IF(H17="TL",G17*1,IF(H17="USD",G17*'Döviz Kurları'!$C$8,IF(H17="EUR",G17*'Döviz Kurları'!$C$9,IF(H17="GBP",G17*'Döviz Kurları'!$C$10,0))))</f>
        <v>0</v>
      </c>
      <c r="J17" s="7">
        <f t="shared" si="0"/>
        <v>0</v>
      </c>
      <c r="K17" s="6"/>
      <c r="L17" s="8"/>
      <c r="M17" s="8"/>
      <c r="N17" s="8"/>
      <c r="O17" s="8"/>
    </row>
    <row r="18" spans="1:15">
      <c r="B18" s="26"/>
      <c r="C18" s="26"/>
      <c r="D18" s="26"/>
      <c r="E18" s="25" t="s">
        <v>26</v>
      </c>
      <c r="F18" s="4">
        <v>0</v>
      </c>
      <c r="G18" s="26"/>
      <c r="H18" s="25" t="s">
        <v>26</v>
      </c>
      <c r="I18" s="4">
        <f>IF(H18="TL",G18*1,IF(H18="USD",G18*'Döviz Kurları'!$C$8,IF(H18="EUR",G18*'Döviz Kurları'!$C$9,IF(H18="GBP",G18*'Döviz Kurları'!$C$10,0))))</f>
        <v>0</v>
      </c>
      <c r="J18" s="7">
        <f t="shared" si="0"/>
        <v>0</v>
      </c>
      <c r="K18" s="6"/>
      <c r="L18" s="8"/>
      <c r="M18" s="8"/>
      <c r="N18" s="8"/>
      <c r="O18" s="8"/>
    </row>
    <row r="19" spans="1:15">
      <c r="B19" s="26"/>
      <c r="C19" s="26"/>
      <c r="D19" s="26"/>
      <c r="E19" s="25" t="s">
        <v>26</v>
      </c>
      <c r="F19" s="4">
        <v>0</v>
      </c>
      <c r="G19" s="26"/>
      <c r="H19" s="25" t="s">
        <v>26</v>
      </c>
      <c r="I19" s="4">
        <f>IF(H19="TL",G19*1,IF(H19="USD",G19*'Döviz Kurları'!$C$8,IF(H19="EUR",G19*'Döviz Kurları'!$C$9,IF(H19="GBP",G19*'Döviz Kurları'!$C$10,0))))</f>
        <v>0</v>
      </c>
      <c r="J19" s="7">
        <f t="shared" si="0"/>
        <v>0</v>
      </c>
      <c r="K19" s="6"/>
      <c r="L19" s="8"/>
      <c r="M19" s="8"/>
      <c r="N19" s="8"/>
      <c r="O19" s="8"/>
    </row>
    <row r="20" spans="1:15">
      <c r="B20" s="26"/>
      <c r="C20" s="26"/>
      <c r="D20" s="26"/>
      <c r="E20" s="25" t="s">
        <v>26</v>
      </c>
      <c r="F20" s="4">
        <v>0</v>
      </c>
      <c r="G20" s="26"/>
      <c r="H20" s="25" t="s">
        <v>26</v>
      </c>
      <c r="I20" s="4">
        <f>IF(H20="TL",G20*1,IF(H20="USD",G20*'Döviz Kurları'!$C$8,IF(H20="EUR",G20*'Döviz Kurları'!$C$9,IF(H20="GBP",G20*'Döviz Kurları'!$C$10,0))))</f>
        <v>0</v>
      </c>
      <c r="J20" s="7">
        <f t="shared" si="0"/>
        <v>0</v>
      </c>
      <c r="K20" s="6"/>
      <c r="L20" s="8"/>
      <c r="M20" s="8"/>
      <c r="N20" s="8"/>
      <c r="O20" s="8"/>
    </row>
    <row r="21" spans="1:15">
      <c r="B21" s="26"/>
      <c r="C21" s="26"/>
      <c r="D21" s="26"/>
      <c r="E21" s="25" t="s">
        <v>26</v>
      </c>
      <c r="F21" s="4">
        <v>0</v>
      </c>
      <c r="G21" s="26"/>
      <c r="H21" s="25" t="s">
        <v>26</v>
      </c>
      <c r="I21" s="4">
        <f>IF(H21="TL",G21*1,IF(H21="USD",G21*'Döviz Kurları'!$C$8,IF(H21="EUR",G21*'Döviz Kurları'!$C$9,IF(H21="GBP",G21*'Döviz Kurları'!$C$10,0))))</f>
        <v>0</v>
      </c>
      <c r="J21" s="7">
        <f t="shared" si="0"/>
        <v>0</v>
      </c>
      <c r="K21" s="6"/>
      <c r="L21" s="8"/>
      <c r="M21" s="8"/>
      <c r="N21" s="8"/>
      <c r="O21" s="8"/>
    </row>
    <row r="22" spans="1:15">
      <c r="B22" s="26"/>
      <c r="C22" s="26"/>
      <c r="D22" s="26"/>
      <c r="E22" s="25" t="s">
        <v>26</v>
      </c>
      <c r="F22" s="4">
        <v>0</v>
      </c>
      <c r="G22" s="26"/>
      <c r="H22" s="25" t="s">
        <v>26</v>
      </c>
      <c r="I22" s="4">
        <f>IF(H22="TL",G22*1,IF(H22="USD",G22*'Döviz Kurları'!$C$8,IF(H22="EUR",G22*'Döviz Kurları'!$C$9,IF(H22="GBP",G22*'Döviz Kurları'!$C$10,0))))</f>
        <v>0</v>
      </c>
      <c r="J22" s="7">
        <f t="shared" si="0"/>
        <v>0</v>
      </c>
      <c r="K22" s="6"/>
      <c r="L22" s="8"/>
      <c r="M22" s="8"/>
      <c r="N22" s="8"/>
      <c r="O22" s="8"/>
    </row>
    <row r="23" spans="1:15" s="4" customFormat="1">
      <c r="A23"/>
      <c r="B23"/>
      <c r="C23"/>
      <c r="D23"/>
      <c r="E23"/>
      <c r="F23"/>
      <c r="G23"/>
      <c r="H23"/>
      <c r="I23"/>
      <c r="J23" s="7"/>
      <c r="K23" s="6"/>
      <c r="L23" s="5"/>
      <c r="M23" s="5" t="s">
        <v>35</v>
      </c>
      <c r="N23" s="5"/>
      <c r="O23" s="5"/>
    </row>
    <row r="24" spans="1:15" s="4" customFormat="1">
      <c r="A24"/>
      <c r="B24"/>
      <c r="C24"/>
      <c r="D24"/>
      <c r="E24"/>
      <c r="F24"/>
      <c r="G24"/>
      <c r="H24"/>
      <c r="I24"/>
      <c r="J24" s="7"/>
      <c r="K24" s="6"/>
      <c r="L24" s="5"/>
      <c r="M24" s="5"/>
      <c r="N24" s="5"/>
      <c r="O24" s="5"/>
    </row>
    <row r="25" spans="1:15" s="4" customFormat="1">
      <c r="A25"/>
      <c r="B25"/>
      <c r="C25"/>
      <c r="D25"/>
      <c r="E25"/>
      <c r="F25"/>
      <c r="G25"/>
      <c r="H25"/>
      <c r="I25"/>
      <c r="J25" s="7"/>
      <c r="K25" s="6"/>
      <c r="L25" s="5"/>
      <c r="M25" s="5"/>
      <c r="N25" s="5"/>
      <c r="O25" s="5"/>
    </row>
    <row r="26" spans="1:15" s="4" customFormat="1">
      <c r="A26"/>
      <c r="B26"/>
      <c r="C26"/>
      <c r="D26"/>
      <c r="E26"/>
      <c r="F26"/>
      <c r="G26"/>
      <c r="H26"/>
      <c r="I26"/>
      <c r="J26" s="7"/>
      <c r="K26" s="6"/>
      <c r="L26" s="5"/>
      <c r="M26" s="5"/>
      <c r="N26" s="5"/>
      <c r="O26" s="5"/>
    </row>
    <row r="27" spans="1:15" s="4" customFormat="1">
      <c r="A27"/>
      <c r="B27"/>
      <c r="C27"/>
      <c r="D27"/>
      <c r="E27"/>
      <c r="F27"/>
      <c r="G27"/>
      <c r="H27"/>
      <c r="I27"/>
      <c r="J27" s="7"/>
      <c r="K27" s="6"/>
      <c r="L27" s="5"/>
      <c r="M27" s="5"/>
      <c r="N27" s="5"/>
      <c r="O27" s="5"/>
    </row>
    <row r="28" spans="1:15" s="4" customFormat="1">
      <c r="A28"/>
      <c r="B28"/>
      <c r="C28"/>
      <c r="D28"/>
      <c r="E28"/>
      <c r="F28"/>
      <c r="G28"/>
      <c r="H28"/>
      <c r="I28"/>
      <c r="J28" s="7"/>
      <c r="K28" s="6"/>
      <c r="L28" s="5"/>
      <c r="M28" s="5"/>
      <c r="N28" s="5"/>
      <c r="O28" s="5"/>
    </row>
    <row r="29" spans="1:15" s="4" customFormat="1">
      <c r="A29"/>
      <c r="B29"/>
      <c r="C29"/>
      <c r="D29"/>
      <c r="E29"/>
      <c r="F29"/>
      <c r="G29"/>
      <c r="H29"/>
      <c r="I29"/>
      <c r="J29" s="7"/>
      <c r="K29" s="6"/>
      <c r="L29" s="5"/>
      <c r="M29" s="5"/>
      <c r="N29" s="5"/>
      <c r="O29" s="5"/>
    </row>
    <row r="30" spans="1:15" s="4" customFormat="1">
      <c r="A30"/>
      <c r="B30"/>
      <c r="C30"/>
      <c r="D30"/>
      <c r="E30"/>
      <c r="F30"/>
      <c r="G30"/>
      <c r="H30"/>
      <c r="I30"/>
      <c r="J30" s="7"/>
      <c r="K30" s="6"/>
      <c r="L30" s="5"/>
      <c r="M30" s="5"/>
      <c r="N30" s="5"/>
      <c r="O30" s="5"/>
    </row>
    <row r="31" spans="1:15" s="4" customFormat="1">
      <c r="A31"/>
      <c r="B31"/>
      <c r="C31"/>
      <c r="D31"/>
      <c r="E31"/>
      <c r="F31"/>
      <c r="G31"/>
      <c r="H31"/>
      <c r="I31"/>
      <c r="J31" s="7"/>
      <c r="K31" s="6"/>
      <c r="L31" s="5"/>
      <c r="M31" s="5"/>
      <c r="N31" s="5"/>
      <c r="O31" s="5"/>
    </row>
    <row r="32" spans="1:15">
      <c r="A32"/>
      <c r="B32"/>
      <c r="C32"/>
      <c r="D32"/>
      <c r="E32"/>
      <c r="F32"/>
      <c r="G32"/>
      <c r="H32"/>
      <c r="I32"/>
    </row>
    <row r="33" spans="1:9">
      <c r="A33"/>
      <c r="B33"/>
      <c r="C33"/>
      <c r="D33"/>
      <c r="E33"/>
      <c r="F33"/>
      <c r="G33"/>
      <c r="H33"/>
      <c r="I33"/>
    </row>
    <row r="34" spans="1:9">
      <c r="A34"/>
      <c r="B34"/>
      <c r="C34"/>
      <c r="D34"/>
      <c r="E34"/>
      <c r="F34"/>
      <c r="G34"/>
      <c r="H34"/>
      <c r="I34"/>
    </row>
    <row r="35" spans="1:9">
      <c r="A35"/>
      <c r="B35"/>
      <c r="C35"/>
      <c r="D35"/>
      <c r="E35"/>
      <c r="F35"/>
      <c r="G35"/>
      <c r="H35"/>
      <c r="I35"/>
    </row>
    <row r="36" spans="1:9">
      <c r="A36"/>
      <c r="B36"/>
      <c r="C36"/>
      <c r="D36"/>
      <c r="E36"/>
      <c r="F36"/>
      <c r="G36"/>
      <c r="H36"/>
      <c r="I36"/>
    </row>
    <row r="37" spans="1:9">
      <c r="A37"/>
      <c r="B37"/>
      <c r="C37"/>
      <c r="D37"/>
      <c r="E37"/>
      <c r="F37"/>
      <c r="G37"/>
      <c r="H37"/>
      <c r="I37"/>
    </row>
    <row r="38" spans="1:9">
      <c r="A38"/>
      <c r="B38"/>
      <c r="C38"/>
      <c r="D38"/>
      <c r="E38"/>
      <c r="F38"/>
      <c r="G38"/>
      <c r="H38"/>
      <c r="I38"/>
    </row>
  </sheetData>
  <mergeCells count="2">
    <mergeCell ref="E2:O4"/>
    <mergeCell ref="L7:O7"/>
  </mergeCells>
  <dataValidations count="1">
    <dataValidation type="list" allowBlank="1" showInputMessage="1" showErrorMessage="1" sqref="H39:H1048576 E8:E22 H8:H22 E39:E1048576" xr:uid="{6C7EEA1B-9DAC-4888-A6BF-3B72F1AC1217}">
      <formula1>"Seçiniz, TL, USD, EUR, GBP"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599C-AC91-414E-9226-7268A4048AAA}">
  <dimension ref="B5:C11"/>
  <sheetViews>
    <sheetView showGridLines="0" workbookViewId="0">
      <selection activeCell="H11" sqref="H11"/>
    </sheetView>
  </sheetViews>
  <sheetFormatPr defaultColWidth="8.8984375" defaultRowHeight="13.8"/>
  <cols>
    <col min="2" max="2" width="11.3984375" customWidth="1"/>
  </cols>
  <sheetData>
    <row r="5" spans="2:3" ht="14.4" thickBot="1"/>
    <row r="6" spans="2:3" ht="14.4" thickBot="1">
      <c r="B6" s="18" t="s">
        <v>29</v>
      </c>
      <c r="C6" s="19" t="s">
        <v>30</v>
      </c>
    </row>
    <row r="7" spans="2:3" ht="14.4" thickBot="1">
      <c r="B7" s="20"/>
      <c r="C7" s="21">
        <v>2019</v>
      </c>
    </row>
    <row r="8" spans="2:3" ht="14.4" thickBot="1">
      <c r="B8" s="20" t="s">
        <v>31</v>
      </c>
      <c r="C8" s="22">
        <v>5.9401999999999999</v>
      </c>
    </row>
    <row r="9" spans="2:3" ht="14.4" thickBot="1">
      <c r="B9" s="20" t="s">
        <v>32</v>
      </c>
      <c r="C9" s="22">
        <v>6.6505999999999998</v>
      </c>
    </row>
    <row r="10" spans="2:3" ht="14.4" thickBot="1">
      <c r="B10" s="20" t="s">
        <v>33</v>
      </c>
      <c r="C10" s="23">
        <v>7.7765000000000004</v>
      </c>
    </row>
    <row r="11" spans="2:3" ht="14.4" thickBot="1">
      <c r="B11" s="24" t="s">
        <v>34</v>
      </c>
      <c r="C11" s="2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C_Kapak</vt:lpstr>
      <vt:lpstr>P01</vt:lpstr>
      <vt:lpstr>Döviz Kurları</vt:lpstr>
      <vt:lpstr>C_Kapak!Yazdırma_Alanı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Gökay Önol</dc:creator>
  <cp:keywords/>
  <dc:description/>
  <cp:lastModifiedBy>Hakan Günaydın</cp:lastModifiedBy>
  <cp:revision/>
  <dcterms:created xsi:type="dcterms:W3CDTF">2019-12-27T08:38:56Z</dcterms:created>
  <dcterms:modified xsi:type="dcterms:W3CDTF">2022-02-02T07:38:28Z</dcterms:modified>
  <cp:category/>
  <cp:contentStatus/>
</cp:coreProperties>
</file>